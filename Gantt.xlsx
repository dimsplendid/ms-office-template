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自訂 Office 範本\"/>
    </mc:Choice>
  </mc:AlternateContent>
  <bookViews>
    <workbookView xWindow="15855" yWindow="345" windowWidth="15675" windowHeight="7365" tabRatio="675" activeTab="1"/>
  </bookViews>
  <sheets>
    <sheet name="README" sheetId="4" r:id="rId1"/>
    <sheet name="Gantt" sheetId="20" r:id="rId2"/>
    <sheet name="工作表1" sheetId="22" r:id="rId3"/>
    <sheet name="Holiday" sheetId="2" r:id="rId4"/>
  </sheets>
  <definedNames>
    <definedName name="holidays">Holiday!$B$2:$B$100</definedName>
  </definedNames>
  <calcPr calcId="162913"/>
</workbook>
</file>

<file path=xl/calcChain.xml><?xml version="1.0" encoding="utf-8"?>
<calcChain xmlns="http://schemas.openxmlformats.org/spreadsheetml/2006/main">
  <c r="C2" i="22" l="1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M102" i="20" l="1"/>
  <c r="L102" i="20"/>
  <c r="M101" i="20"/>
  <c r="L101" i="20"/>
  <c r="M100" i="20"/>
  <c r="L100" i="20"/>
  <c r="M99" i="20"/>
  <c r="L99" i="20"/>
  <c r="M98" i="20"/>
  <c r="L98" i="20"/>
  <c r="M97" i="20"/>
  <c r="L97" i="20"/>
  <c r="M96" i="20"/>
  <c r="L96" i="20"/>
  <c r="M95" i="20"/>
  <c r="L95" i="20"/>
  <c r="M94" i="20"/>
  <c r="L94" i="20"/>
  <c r="M93" i="20"/>
  <c r="L93" i="20"/>
  <c r="M92" i="20"/>
  <c r="L92" i="20"/>
  <c r="M91" i="20"/>
  <c r="L91" i="20"/>
  <c r="M90" i="20"/>
  <c r="L90" i="20"/>
  <c r="M89" i="20"/>
  <c r="L89" i="20"/>
  <c r="M88" i="20"/>
  <c r="L88" i="20"/>
  <c r="M87" i="20"/>
  <c r="L87" i="20"/>
  <c r="M86" i="20"/>
  <c r="L86" i="20"/>
  <c r="M85" i="20"/>
  <c r="L85" i="20"/>
  <c r="M84" i="20"/>
  <c r="L84" i="20"/>
  <c r="M83" i="20"/>
  <c r="L83" i="20"/>
  <c r="M82" i="20"/>
  <c r="L82" i="20"/>
  <c r="M81" i="20"/>
  <c r="L81" i="20"/>
  <c r="M80" i="20"/>
  <c r="L80" i="20"/>
  <c r="M79" i="20"/>
  <c r="L79" i="20"/>
  <c r="M78" i="20"/>
  <c r="L78" i="20"/>
  <c r="M77" i="20"/>
  <c r="L77" i="20"/>
  <c r="M76" i="20"/>
  <c r="L76" i="20"/>
  <c r="M75" i="20"/>
  <c r="L75" i="20"/>
  <c r="M74" i="20"/>
  <c r="L74" i="20"/>
  <c r="M73" i="20"/>
  <c r="L73" i="20"/>
  <c r="M72" i="20"/>
  <c r="L72" i="20"/>
  <c r="M71" i="20"/>
  <c r="L71" i="20"/>
  <c r="M70" i="20"/>
  <c r="L70" i="20"/>
  <c r="M69" i="20"/>
  <c r="L69" i="20"/>
  <c r="M68" i="20"/>
  <c r="L68" i="20"/>
  <c r="M67" i="20"/>
  <c r="L67" i="20"/>
  <c r="M66" i="20"/>
  <c r="L66" i="20"/>
  <c r="M65" i="20"/>
  <c r="L65" i="20"/>
  <c r="M64" i="20"/>
  <c r="L64" i="20"/>
  <c r="M63" i="20"/>
  <c r="L63" i="20"/>
  <c r="M62" i="20"/>
  <c r="L62" i="20"/>
  <c r="M61" i="20"/>
  <c r="L61" i="20"/>
  <c r="M60" i="20"/>
  <c r="L60" i="20"/>
  <c r="M59" i="20"/>
  <c r="L59" i="20"/>
  <c r="M58" i="20"/>
  <c r="L58" i="20"/>
  <c r="L57" i="20"/>
  <c r="L56" i="20"/>
  <c r="L55" i="20"/>
  <c r="L54" i="20"/>
  <c r="L53" i="20"/>
  <c r="L52" i="20"/>
  <c r="L49" i="20"/>
  <c r="L47" i="20"/>
  <c r="L46" i="20"/>
  <c r="L45" i="20"/>
  <c r="L44" i="20"/>
  <c r="L43" i="20"/>
  <c r="L42" i="20"/>
  <c r="L41" i="20"/>
  <c r="L39" i="20"/>
  <c r="L38" i="20"/>
  <c r="L37" i="20"/>
  <c r="L35" i="20"/>
  <c r="L34" i="20"/>
  <c r="L33" i="20"/>
  <c r="L32" i="20"/>
  <c r="M31" i="20"/>
  <c r="L31" i="20"/>
  <c r="M30" i="20"/>
  <c r="L30" i="20"/>
  <c r="L28" i="20"/>
  <c r="L27" i="20"/>
  <c r="L26" i="20"/>
  <c r="M25" i="20"/>
  <c r="L25" i="20"/>
  <c r="M24" i="20"/>
  <c r="L24" i="20"/>
  <c r="L23" i="20"/>
  <c r="L22" i="20"/>
  <c r="L21" i="20"/>
  <c r="M20" i="20"/>
  <c r="L20" i="20"/>
  <c r="M18" i="20"/>
  <c r="L18" i="20"/>
  <c r="L17" i="20"/>
  <c r="L16" i="20"/>
  <c r="L15" i="20"/>
  <c r="M14" i="20"/>
  <c r="L14" i="20"/>
  <c r="M13" i="20"/>
  <c r="L13" i="20"/>
  <c r="M12" i="20"/>
  <c r="L12" i="20"/>
  <c r="L11" i="20"/>
  <c r="L10" i="20"/>
  <c r="L9" i="20"/>
  <c r="M8" i="20"/>
  <c r="L8" i="20"/>
  <c r="M7" i="20"/>
  <c r="L7" i="20"/>
  <c r="M6" i="20"/>
  <c r="L6" i="20"/>
  <c r="M5" i="20"/>
  <c r="L5" i="20"/>
  <c r="N6" i="20" l="1"/>
  <c r="G6" i="20"/>
  <c r="N59" i="20"/>
  <c r="O59" i="20" s="1"/>
  <c r="G59" i="20"/>
  <c r="N63" i="20"/>
  <c r="G63" i="20"/>
  <c r="N67" i="20"/>
  <c r="O67" i="20" s="1"/>
  <c r="G67" i="20"/>
  <c r="N71" i="20"/>
  <c r="G71" i="20"/>
  <c r="N75" i="20"/>
  <c r="G75" i="20"/>
  <c r="N79" i="20"/>
  <c r="G79" i="20"/>
  <c r="N83" i="20"/>
  <c r="G83" i="20"/>
  <c r="N87" i="20"/>
  <c r="G87" i="20"/>
  <c r="N91" i="20"/>
  <c r="G91" i="20"/>
  <c r="N95" i="20"/>
  <c r="G95" i="20"/>
  <c r="N99" i="20"/>
  <c r="O99" i="20" s="1"/>
  <c r="G99" i="20"/>
  <c r="N12" i="20"/>
  <c r="G12" i="20"/>
  <c r="N24" i="20"/>
  <c r="G24" i="20"/>
  <c r="N18" i="20"/>
  <c r="O18" i="20" s="1"/>
  <c r="G18" i="20"/>
  <c r="N60" i="20"/>
  <c r="O60" i="20" s="1"/>
  <c r="G60" i="20"/>
  <c r="N64" i="20"/>
  <c r="G64" i="20"/>
  <c r="N68" i="20"/>
  <c r="O68" i="20" s="1"/>
  <c r="G68" i="20"/>
  <c r="N72" i="20"/>
  <c r="G72" i="20"/>
  <c r="N76" i="20"/>
  <c r="O76" i="20" s="1"/>
  <c r="G76" i="20"/>
  <c r="N80" i="20"/>
  <c r="G80" i="20"/>
  <c r="N84" i="20"/>
  <c r="O84" i="20" s="1"/>
  <c r="G84" i="20"/>
  <c r="N88" i="20"/>
  <c r="G88" i="20"/>
  <c r="N92" i="20"/>
  <c r="O92" i="20" s="1"/>
  <c r="G92" i="20"/>
  <c r="N96" i="20"/>
  <c r="O96" i="20" s="1"/>
  <c r="G96" i="20"/>
  <c r="N100" i="20"/>
  <c r="G100" i="20"/>
  <c r="N30" i="20"/>
  <c r="G30" i="20"/>
  <c r="N13" i="20"/>
  <c r="O13" i="20" s="1"/>
  <c r="G13" i="20"/>
  <c r="N25" i="20"/>
  <c r="M26" i="20" s="1"/>
  <c r="G25" i="20"/>
  <c r="N7" i="20"/>
  <c r="O7" i="20" s="1"/>
  <c r="G7" i="20"/>
  <c r="N8" i="20"/>
  <c r="O8" i="20" s="1"/>
  <c r="G8" i="20"/>
  <c r="N20" i="20"/>
  <c r="G20" i="20"/>
  <c r="N31" i="20"/>
  <c r="M32" i="20" s="1"/>
  <c r="G31" i="20"/>
  <c r="N61" i="20"/>
  <c r="G61" i="20"/>
  <c r="N65" i="20"/>
  <c r="O65" i="20" s="1"/>
  <c r="G65" i="20"/>
  <c r="N69" i="20"/>
  <c r="O69" i="20" s="1"/>
  <c r="G69" i="20"/>
  <c r="N73" i="20"/>
  <c r="G73" i="20"/>
  <c r="N77" i="20"/>
  <c r="O77" i="20" s="1"/>
  <c r="G77" i="20"/>
  <c r="N81" i="20"/>
  <c r="G81" i="20"/>
  <c r="N85" i="20"/>
  <c r="G85" i="20"/>
  <c r="N89" i="20"/>
  <c r="O89" i="20" s="1"/>
  <c r="G89" i="20"/>
  <c r="N93" i="20"/>
  <c r="G93" i="20"/>
  <c r="N97" i="20"/>
  <c r="O97" i="20" s="1"/>
  <c r="G97" i="20"/>
  <c r="N101" i="20"/>
  <c r="O101" i="20" s="1"/>
  <c r="G101" i="20"/>
  <c r="N14" i="20"/>
  <c r="G14" i="20"/>
  <c r="N5" i="20"/>
  <c r="O5" i="20" s="1"/>
  <c r="G5" i="20"/>
  <c r="N58" i="20"/>
  <c r="O58" i="20" s="1"/>
  <c r="G58" i="20"/>
  <c r="N62" i="20"/>
  <c r="O62" i="20" s="1"/>
  <c r="G62" i="20"/>
  <c r="N66" i="20"/>
  <c r="G66" i="20"/>
  <c r="N70" i="20"/>
  <c r="O70" i="20" s="1"/>
  <c r="G70" i="20"/>
  <c r="N74" i="20"/>
  <c r="G74" i="20"/>
  <c r="N78" i="20"/>
  <c r="O78" i="20" s="1"/>
  <c r="G78" i="20"/>
  <c r="N82" i="20"/>
  <c r="O82" i="20" s="1"/>
  <c r="G82" i="20"/>
  <c r="N86" i="20"/>
  <c r="O86" i="20" s="1"/>
  <c r="G86" i="20"/>
  <c r="N90" i="20"/>
  <c r="G90" i="20"/>
  <c r="N94" i="20"/>
  <c r="O94" i="20" s="1"/>
  <c r="G94" i="20"/>
  <c r="N98" i="20"/>
  <c r="G98" i="20"/>
  <c r="N102" i="20"/>
  <c r="O102" i="20" s="1"/>
  <c r="G102" i="20"/>
  <c r="O85" i="20"/>
  <c r="O93" i="20"/>
  <c r="O61" i="20"/>
  <c r="O66" i="20"/>
  <c r="L36" i="20"/>
  <c r="M36" i="20"/>
  <c r="O64" i="20"/>
  <c r="O74" i="20"/>
  <c r="O80" i="20"/>
  <c r="O90" i="20"/>
  <c r="O100" i="20"/>
  <c r="O71" i="20"/>
  <c r="O75" i="20"/>
  <c r="O81" i="20"/>
  <c r="O87" i="20"/>
  <c r="O91" i="20"/>
  <c r="O31" i="20"/>
  <c r="O88" i="20"/>
  <c r="O98" i="20"/>
  <c r="O24" i="20"/>
  <c r="O72" i="20"/>
  <c r="M9" i="20"/>
  <c r="O12" i="20"/>
  <c r="O6" i="20"/>
  <c r="O63" i="20"/>
  <c r="O73" i="20"/>
  <c r="O79" i="20"/>
  <c r="O83" i="20"/>
  <c r="O95" i="20"/>
  <c r="M15" i="20"/>
  <c r="O14" i="20"/>
  <c r="M21" i="20"/>
  <c r="O20" i="20"/>
  <c r="O30" i="20"/>
  <c r="O25" i="20" l="1"/>
  <c r="N36" i="20"/>
  <c r="M37" i="20" s="1"/>
  <c r="G36" i="20"/>
  <c r="N9" i="20"/>
  <c r="O9" i="20" s="1"/>
  <c r="G9" i="20"/>
  <c r="N21" i="20"/>
  <c r="O21" i="20" s="1"/>
  <c r="G21" i="20"/>
  <c r="N15" i="20"/>
  <c r="O15" i="20" s="1"/>
  <c r="G15" i="20"/>
  <c r="N32" i="20"/>
  <c r="G32" i="20"/>
  <c r="N26" i="20"/>
  <c r="G26" i="20"/>
  <c r="M22" i="20"/>
  <c r="M16" i="20"/>
  <c r="O36" i="20"/>
  <c r="M10" i="20"/>
  <c r="L40" i="20"/>
  <c r="N10" i="20" l="1"/>
  <c r="G10" i="20"/>
  <c r="N22" i="20"/>
  <c r="G22" i="20"/>
  <c r="M27" i="20"/>
  <c r="O26" i="20"/>
  <c r="N16" i="20"/>
  <c r="O16" i="20" s="1"/>
  <c r="G16" i="20"/>
  <c r="O32" i="20"/>
  <c r="M33" i="20"/>
  <c r="N37" i="20"/>
  <c r="G37" i="20"/>
  <c r="M41" i="20"/>
  <c r="M17" i="20"/>
  <c r="M23" i="20"/>
  <c r="O22" i="20"/>
  <c r="M11" i="20"/>
  <c r="O10" i="20"/>
  <c r="N11" i="20" l="1"/>
  <c r="G11" i="20"/>
  <c r="N17" i="20"/>
  <c r="G17" i="20"/>
  <c r="N41" i="20"/>
  <c r="O41" i="20" s="1"/>
  <c r="G41" i="20"/>
  <c r="G27" i="20"/>
  <c r="N27" i="20"/>
  <c r="O37" i="20"/>
  <c r="M38" i="20"/>
  <c r="N23" i="20"/>
  <c r="O23" i="20" s="1"/>
  <c r="G23" i="20"/>
  <c r="N33" i="20"/>
  <c r="G33" i="20"/>
  <c r="O17" i="20"/>
  <c r="O11" i="20"/>
  <c r="M42" i="20"/>
  <c r="M34" i="20" l="1"/>
  <c r="O33" i="20"/>
  <c r="O27" i="20"/>
  <c r="M28" i="20"/>
  <c r="N42" i="20"/>
  <c r="O42" i="20" s="1"/>
  <c r="G42" i="20"/>
  <c r="N38" i="20"/>
  <c r="G38" i="20"/>
  <c r="M19" i="20"/>
  <c r="L19" i="20"/>
  <c r="M43" i="20"/>
  <c r="L29" i="20"/>
  <c r="N28" i="20" l="1"/>
  <c r="G28" i="20"/>
  <c r="O38" i="20"/>
  <c r="M39" i="20"/>
  <c r="N43" i="20"/>
  <c r="O43" i="20" s="1"/>
  <c r="G43" i="20"/>
  <c r="N19" i="20"/>
  <c r="O19" i="20" s="1"/>
  <c r="G19" i="20"/>
  <c r="N34" i="20"/>
  <c r="G34" i="20"/>
  <c r="M44" i="20"/>
  <c r="N44" i="20" l="1"/>
  <c r="G44" i="20"/>
  <c r="N39" i="20"/>
  <c r="G39" i="20"/>
  <c r="O34" i="20"/>
  <c r="M35" i="20"/>
  <c r="O28" i="20"/>
  <c r="M29" i="20"/>
  <c r="M45" i="20"/>
  <c r="O44" i="20"/>
  <c r="G29" i="20" l="1"/>
  <c r="N29" i="20"/>
  <c r="O29" i="20" s="1"/>
  <c r="G35" i="20"/>
  <c r="N35" i="20"/>
  <c r="O35" i="20" s="1"/>
  <c r="O39" i="20"/>
  <c r="M40" i="20"/>
  <c r="N45" i="20"/>
  <c r="O45" i="20" s="1"/>
  <c r="G45" i="20"/>
  <c r="M46" i="20"/>
  <c r="N40" i="20" l="1"/>
  <c r="O40" i="20" s="1"/>
  <c r="G40" i="20"/>
  <c r="N46" i="20"/>
  <c r="O46" i="20" s="1"/>
  <c r="G46" i="20"/>
  <c r="M47" i="20"/>
  <c r="M48" i="20"/>
  <c r="L48" i="20"/>
  <c r="N48" i="20" l="1"/>
  <c r="O48" i="20" s="1"/>
  <c r="G48" i="20"/>
  <c r="N47" i="20"/>
  <c r="O47" i="20" s="1"/>
  <c r="G47" i="20"/>
  <c r="M49" i="20"/>
  <c r="N49" i="20" l="1"/>
  <c r="O49" i="20" s="1"/>
  <c r="G49" i="20"/>
  <c r="L50" i="20" l="1"/>
  <c r="M50" i="20"/>
  <c r="N50" i="20" l="1"/>
  <c r="O50" i="20" s="1"/>
  <c r="G50" i="20"/>
  <c r="L51" i="20" l="1"/>
  <c r="M51" i="20"/>
  <c r="N51" i="20" l="1"/>
  <c r="O51" i="20" s="1"/>
  <c r="G51" i="20"/>
  <c r="M52" i="20"/>
  <c r="N52" i="20" l="1"/>
  <c r="O52" i="20" s="1"/>
  <c r="G52" i="20"/>
  <c r="M53" i="20"/>
  <c r="N53" i="20" l="1"/>
  <c r="O53" i="20" s="1"/>
  <c r="G53" i="20"/>
  <c r="M54" i="20"/>
  <c r="N54" i="20" l="1"/>
  <c r="O54" i="20" s="1"/>
  <c r="G54" i="20"/>
  <c r="M55" i="20"/>
  <c r="N55" i="20" l="1"/>
  <c r="O55" i="20" s="1"/>
  <c r="G55" i="20"/>
  <c r="M56" i="20"/>
  <c r="N56" i="20" l="1"/>
  <c r="O56" i="20" s="1"/>
  <c r="G56" i="20"/>
  <c r="M57" i="20"/>
  <c r="N57" i="20" l="1"/>
  <c r="O57" i="20" s="1"/>
  <c r="G57" i="20"/>
</calcChain>
</file>

<file path=xl/comments1.xml><?xml version="1.0" encoding="utf-8"?>
<comments xmlns="http://schemas.openxmlformats.org/spreadsheetml/2006/main">
  <authors>
    <author>andrew.tseng</author>
  </authors>
  <commentList>
    <comment ref="J4" authorId="0" shapeId="0">
      <text>
        <r>
          <rPr>
            <b/>
            <sz val="9"/>
            <color indexed="81"/>
            <rFont val="Tahoma"/>
            <family val="2"/>
          </rPr>
          <t xml:space="preserve">andrew.tseng:
</t>
        </r>
        <r>
          <rPr>
            <sz val="9"/>
            <color indexed="81"/>
            <rFont val="Tahoma"/>
            <family val="2"/>
          </rPr>
          <t>Would add the "Y" item to the Yuyu's diagram.</t>
        </r>
      </text>
    </comment>
    <comment ref="K4" authorId="0" shapeId="0">
      <text>
        <r>
          <rPr>
            <b/>
            <sz val="9"/>
            <color indexed="81"/>
            <rFont val="Tahoma"/>
            <family val="2"/>
          </rPr>
          <t>andrew.tseng:</t>
        </r>
        <r>
          <rPr>
            <sz val="9"/>
            <color indexed="81"/>
            <rFont val="Tahoma"/>
            <family val="2"/>
          </rPr>
          <t xml:space="preserve">
If the process would keep going on holiday, type "Y" in this field.</t>
        </r>
      </text>
    </comment>
  </commentList>
</comments>
</file>

<file path=xl/sharedStrings.xml><?xml version="1.0" encoding="utf-8"?>
<sst xmlns="http://schemas.openxmlformats.org/spreadsheetml/2006/main" count="60" uniqueCount="45">
  <si>
    <t>Actual Days</t>
  </si>
  <si>
    <t>備註</t>
  </si>
  <si>
    <t>日期</t>
  </si>
  <si>
    <t>元旦</t>
  </si>
  <si>
    <t>春節</t>
  </si>
  <si>
    <t>清明</t>
  </si>
  <si>
    <t>修改人</t>
  </si>
  <si>
    <t>修改項目</t>
  </si>
  <si>
    <t>曾煒翔</t>
  </si>
  <si>
    <t>項目修改為尚達先前待辦事項</t>
  </si>
  <si>
    <r>
      <t>加入</t>
    </r>
    <r>
      <rPr>
        <b/>
        <sz val="12"/>
        <color theme="1"/>
        <rFont val="微軟正黑體"/>
        <family val="2"/>
        <charset val="136"/>
      </rPr>
      <t>預計投入日</t>
    </r>
  </si>
  <si>
    <t>1. 請自行修改項目</t>
  </si>
  <si>
    <t>1. 請僅修改綠色的值</t>
  </si>
  <si>
    <t>2. 時間分為 plan day(預計天數)與投入日期</t>
  </si>
  <si>
    <t>會以投入日期優先，否則會以上一個結束日期為起點</t>
  </si>
  <si>
    <t>3. 有任何需求或疑問請聯繫曾煒翔 514-13628</t>
  </si>
  <si>
    <t>2. 甘特圖起始日期須自行設定座標軸</t>
  </si>
  <si>
    <t>圖表可自動顯示開始時間，若有需要可以再自行修改顯示</t>
  </si>
  <si>
    <t>修改填入項目至左欄，並加上星期</t>
  </si>
  <si>
    <t>work on holiday</t>
  </si>
  <si>
    <t>新增考慮假日選項</t>
  </si>
  <si>
    <t>勞動節</t>
  </si>
  <si>
    <t>228 紀念日</t>
  </si>
  <si>
    <t>端午</t>
  </si>
  <si>
    <t>中秋</t>
  </si>
  <si>
    <t>國慶</t>
  </si>
  <si>
    <t>新增致諭圖</t>
  </si>
  <si>
    <t>README</t>
  </si>
  <si>
    <t>idx</t>
  </si>
  <si>
    <t>實際投入日</t>
    <phoneticPr fontId="14" type="noConversion"/>
  </si>
  <si>
    <r>
      <rPr>
        <sz val="12"/>
        <color theme="1"/>
        <rFont val="細明體"/>
        <family val="3"/>
        <charset val="136"/>
      </rPr>
      <t>節日</t>
    </r>
    <r>
      <rPr>
        <sz val="12"/>
        <color theme="1"/>
        <rFont val="Fira Code"/>
        <family val="2"/>
      </rPr>
      <t>(Max 99)</t>
    </r>
    <phoneticPr fontId="14" type="noConversion"/>
  </si>
  <si>
    <t>增加模糊日期功能</t>
    <phoneticPr fontId="14" type="noConversion"/>
  </si>
  <si>
    <t>曾煒翔</t>
    <phoneticPr fontId="14" type="noConversion"/>
  </si>
  <si>
    <t>新增 Gantt(TR2), 新增點點圖 style</t>
    <phoneticPr fontId="14" type="noConversion"/>
  </si>
  <si>
    <t>聖誕</t>
    <phoneticPr fontId="14" type="noConversion"/>
  </si>
  <si>
    <t>事項</t>
    <phoneticPr fontId="14" type="noConversion"/>
  </si>
  <si>
    <t>分類</t>
    <phoneticPr fontId="14" type="noConversion"/>
  </si>
  <si>
    <t>Actual Start</t>
    <phoneticPr fontId="14" type="noConversion"/>
  </si>
  <si>
    <t>Actual End</t>
    <phoneticPr fontId="14" type="noConversion"/>
  </si>
  <si>
    <t>Start</t>
    <phoneticPr fontId="14" type="noConversion"/>
  </si>
  <si>
    <t>End</t>
    <phoneticPr fontId="14" type="noConversion"/>
  </si>
  <si>
    <t>Duration</t>
    <phoneticPr fontId="14" type="noConversion"/>
  </si>
  <si>
    <t>Blur End</t>
    <phoneticPr fontId="14" type="noConversion"/>
  </si>
  <si>
    <t>Delay</t>
    <phoneticPr fontId="14" type="noConversion"/>
  </si>
  <si>
    <t>TimeLine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</si>
</sst>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mm/dd;@"/>
    <numFmt numFmtId="177" formatCode="mm/dd\(ddd\)"/>
    <numFmt numFmtId="178" formatCode="mm/dd/yy"/>
    <numFmt numFmtId="179" formatCode="mm/dd/yy;@"/>
    <numFmt numFmtId="180" formatCode="0_ "/>
    <numFmt numFmtId="181" formatCode="0.00_);[Red]\(0.00\)"/>
  </numFmts>
  <fonts count="20">
    <font>
      <sz val="12"/>
      <color theme="1"/>
      <name val="Fira Code"/>
      <family val="2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MS UI Gothic"/>
      <family val="2"/>
    </font>
    <font>
      <sz val="10"/>
      <name val="Arial"/>
      <family val="2"/>
    </font>
    <font>
      <sz val="11"/>
      <name val="?"/>
      <family val="3"/>
      <charset val="136"/>
    </font>
    <font>
      <sz val="10"/>
      <name val="Helv"/>
      <family val="2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theme="1"/>
      <name val="Sarasa Mono TC"/>
      <family val="3"/>
      <charset val="136"/>
    </font>
    <font>
      <sz val="12"/>
      <name val="Sarasa Mono TC"/>
      <family val="3"/>
      <charset val="136"/>
    </font>
    <font>
      <b/>
      <sz val="12"/>
      <name val="Sarasa Mono TC"/>
      <family val="3"/>
      <charset val="136"/>
    </font>
    <font>
      <b/>
      <sz val="12"/>
      <color theme="1"/>
      <name val="Sarasa Mono TC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</borders>
  <cellStyleXfs count="16">
    <xf numFmtId="0" fontId="0" fillId="0" borderId="0"/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/>
    <xf numFmtId="0" fontId="7" fillId="0" borderId="0"/>
    <xf numFmtId="0" fontId="7" fillId="0" borderId="0"/>
    <xf numFmtId="0" fontId="8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</cellStyleXfs>
  <cellXfs count="54">
    <xf numFmtId="0" fontId="0" fillId="0" borderId="0" xfId="0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178" fontId="0" fillId="0" borderId="0" xfId="0" applyNumberFormat="1"/>
    <xf numFmtId="179" fontId="10" fillId="0" borderId="0" xfId="0" applyNumberFormat="1" applyFont="1" applyAlignment="1">
      <alignment horizontal="center"/>
    </xf>
    <xf numFmtId="0" fontId="15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3" borderId="4" xfId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176" fontId="17" fillId="2" borderId="3" xfId="1" applyNumberFormat="1" applyFont="1" applyFill="1" applyBorder="1" applyAlignment="1">
      <alignment horizontal="center"/>
    </xf>
    <xf numFmtId="1" fontId="17" fillId="2" borderId="3" xfId="0" applyNumberFormat="1" applyFont="1" applyFill="1" applyBorder="1" applyAlignment="1">
      <alignment horizontal="center"/>
    </xf>
    <xf numFmtId="180" fontId="17" fillId="2" borderId="3" xfId="0" applyNumberFormat="1" applyFont="1" applyFill="1" applyBorder="1" applyAlignment="1">
      <alignment horizontal="center"/>
    </xf>
    <xf numFmtId="0" fontId="18" fillId="2" borderId="3" xfId="1" applyFont="1" applyFill="1" applyBorder="1" applyAlignment="1">
      <alignment horizontal="center" vertical="center"/>
    </xf>
    <xf numFmtId="176" fontId="17" fillId="3" borderId="3" xfId="0" applyNumberFormat="1" applyFont="1" applyFill="1" applyBorder="1" applyAlignment="1">
      <alignment horizontal="center"/>
    </xf>
    <xf numFmtId="177" fontId="16" fillId="3" borderId="3" xfId="0" applyNumberFormat="1" applyFont="1" applyFill="1" applyBorder="1" applyAlignment="1">
      <alignment horizontal="left"/>
    </xf>
    <xf numFmtId="176" fontId="16" fillId="0" borderId="3" xfId="0" applyNumberFormat="1" applyFont="1" applyBorder="1" applyAlignment="1">
      <alignment horizontal="center"/>
    </xf>
    <xf numFmtId="1" fontId="16" fillId="0" borderId="3" xfId="0" applyNumberFormat="1" applyFont="1" applyBorder="1" applyAlignment="1">
      <alignment horizontal="center"/>
    </xf>
    <xf numFmtId="0" fontId="17" fillId="2" borderId="1" xfId="0" applyFont="1" applyFill="1" applyBorder="1" applyAlignment="1">
      <alignment horizontal="left" vertical="center"/>
    </xf>
    <xf numFmtId="176" fontId="17" fillId="2" borderId="1" xfId="1" applyNumberFormat="1" applyFont="1" applyFill="1" applyBorder="1" applyAlignment="1">
      <alignment horizontal="center"/>
    </xf>
    <xf numFmtId="1" fontId="17" fillId="2" borderId="1" xfId="1" applyNumberFormat="1" applyFont="1" applyFill="1" applyBorder="1" applyAlignment="1">
      <alignment horizontal="center"/>
    </xf>
    <xf numFmtId="1" fontId="17" fillId="2" borderId="1" xfId="1" applyNumberFormat="1" applyFont="1" applyFill="1" applyBorder="1" applyAlignment="1">
      <alignment horizontal="left" vertical="center"/>
    </xf>
    <xf numFmtId="180" fontId="17" fillId="2" borderId="1" xfId="0" applyNumberFormat="1" applyFont="1" applyFill="1" applyBorder="1" applyAlignment="1">
      <alignment horizontal="center"/>
    </xf>
    <xf numFmtId="0" fontId="18" fillId="2" borderId="1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left" vertical="center"/>
    </xf>
    <xf numFmtId="176" fontId="17" fillId="3" borderId="3" xfId="1" applyNumberFormat="1" applyFont="1" applyFill="1" applyBorder="1" applyAlignment="1">
      <alignment horizontal="center"/>
    </xf>
    <xf numFmtId="180" fontId="17" fillId="2" borderId="1" xfId="1" applyNumberFormat="1" applyFont="1" applyFill="1" applyBorder="1" applyAlignment="1">
      <alignment horizontal="center"/>
    </xf>
    <xf numFmtId="0" fontId="16" fillId="0" borderId="3" xfId="0" applyNumberFormat="1" applyFont="1" applyBorder="1" applyAlignment="1">
      <alignment horizontal="center"/>
    </xf>
    <xf numFmtId="1" fontId="17" fillId="2" borderId="1" xfId="0" applyNumberFormat="1" applyFont="1" applyFill="1" applyBorder="1" applyAlignment="1">
      <alignment horizontal="center"/>
    </xf>
    <xf numFmtId="176" fontId="17" fillId="2" borderId="3" xfId="0" applyNumberFormat="1" applyFont="1" applyFill="1" applyBorder="1" applyAlignment="1">
      <alignment horizontal="center"/>
    </xf>
    <xf numFmtId="180" fontId="17" fillId="2" borderId="3" xfId="1" applyNumberFormat="1" applyFont="1" applyFill="1" applyBorder="1" applyAlignment="1">
      <alignment horizontal="center"/>
    </xf>
    <xf numFmtId="49" fontId="17" fillId="2" borderId="1" xfId="1" applyNumberFormat="1" applyFont="1" applyFill="1" applyBorder="1" applyAlignment="1">
      <alignment horizontal="left" vertical="center"/>
    </xf>
    <xf numFmtId="180" fontId="17" fillId="2" borderId="0" xfId="0" applyNumberFormat="1" applyFont="1" applyFill="1" applyBorder="1" applyAlignment="1">
      <alignment horizontal="center"/>
    </xf>
    <xf numFmtId="0" fontId="18" fillId="2" borderId="1" xfId="1" applyFont="1" applyFill="1" applyBorder="1" applyAlignment="1">
      <alignment horizontal="left" vertical="center"/>
    </xf>
    <xf numFmtId="0" fontId="17" fillId="2" borderId="2" xfId="1" applyFont="1" applyFill="1" applyBorder="1" applyAlignment="1">
      <alignment horizontal="left" vertical="center"/>
    </xf>
    <xf numFmtId="0" fontId="17" fillId="0" borderId="0" xfId="0" applyFont="1" applyAlignment="1">
      <alignment horizontal="left"/>
    </xf>
    <xf numFmtId="0" fontId="19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9" fillId="0" borderId="0" xfId="0" applyFont="1"/>
    <xf numFmtId="0" fontId="17" fillId="0" borderId="0" xfId="0" applyFont="1" applyFill="1" applyAlignment="1">
      <alignment horizontal="center"/>
    </xf>
    <xf numFmtId="0" fontId="18" fillId="0" borderId="4" xfId="0" applyFont="1" applyFill="1" applyBorder="1" applyAlignment="1">
      <alignment horizontal="center"/>
    </xf>
    <xf numFmtId="176" fontId="17" fillId="0" borderId="3" xfId="1" applyNumberFormat="1" applyFont="1" applyFill="1" applyBorder="1" applyAlignment="1">
      <alignment horizontal="center"/>
    </xf>
    <xf numFmtId="176" fontId="17" fillId="0" borderId="1" xfId="1" applyNumberFormat="1" applyFont="1" applyFill="1" applyBorder="1" applyAlignment="1">
      <alignment horizontal="center"/>
    </xf>
    <xf numFmtId="176" fontId="17" fillId="0" borderId="3" xfId="0" applyNumberFormat="1" applyFont="1" applyFill="1" applyBorder="1" applyAlignment="1">
      <alignment horizontal="center"/>
    </xf>
    <xf numFmtId="0" fontId="17" fillId="0" borderId="0" xfId="0" applyFont="1" applyFill="1"/>
    <xf numFmtId="14" fontId="0" fillId="0" borderId="0" xfId="0" applyNumberFormat="1"/>
    <xf numFmtId="181" fontId="0" fillId="0" borderId="0" xfId="0" applyNumberFormat="1"/>
  </cellXfs>
  <cellStyles count="16">
    <cellStyle name="_ET_STYLE_NoName_00_" xfId="12"/>
    <cellStyle name="0,0_x000d__x000a_NA_x000d__x000a_" xfId="11"/>
    <cellStyle name="l]_x000d__x000a_Path=h:_x000d__x000a_Name=Diana Chang_x000d__x000a_DDEApps=nsf,nsg,nsh,ntf,ns2,ors,org_x000d__x000a_SmartIcons=Read Message_x000d__x000a__x000d__x000a__x000d__x000a_[cc:Edit" xfId="10"/>
    <cellStyle name="一般" xfId="0" builtinId="0"/>
    <cellStyle name="一般 12 3" xfId="4"/>
    <cellStyle name="一般 2" xfId="1"/>
    <cellStyle name="一般 2 4 2 2 2 2" xfId="5"/>
    <cellStyle name="一般 3" xfId="15"/>
    <cellStyle name="一般 3 5" xfId="7"/>
    <cellStyle name="一般 3 6" xfId="2"/>
    <cellStyle name="一般 4" xfId="8"/>
    <cellStyle name="一般 4 2" xfId="9"/>
    <cellStyle name="一般 57" xfId="6"/>
    <cellStyle name="一般 64 2" xfId="14"/>
    <cellStyle name="一般 9 2" xfId="3"/>
    <cellStyle name="樣式 1" xfId="13"/>
  </cellStyles>
  <dxfs count="23">
    <dxf>
      <font>
        <strike val="0"/>
        <outline val="0"/>
        <shadow val="0"/>
        <u val="none"/>
        <vertAlign val="baseline"/>
        <sz val="12"/>
        <name val="Sarasa Mono TC"/>
        <scheme val="none"/>
      </font>
      <numFmt numFmtId="0" formatCode="General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Sarasa Mono TC"/>
        <scheme val="none"/>
      </font>
      <numFmt numFmtId="176" formatCode="mm/dd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Sarasa Mono TC"/>
        <scheme val="none"/>
      </font>
      <numFmt numFmtId="177" formatCode="mm/dd\(ddd\)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rasa Mono TC"/>
        <scheme val="none"/>
      </font>
      <numFmt numFmtId="176" formatCode="mm/dd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rasa Mono TC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rasa Mono TC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rasa Mono TC"/>
        <scheme val="none"/>
      </font>
      <numFmt numFmtId="180" formatCode="0_ "/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Sarasa Mono TC"/>
        <scheme val="none"/>
      </font>
      <numFmt numFmtId="1" formatCode="0"/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rasa Mono TC"/>
        <scheme val="none"/>
      </font>
      <numFmt numFmtId="176" formatCode="mm/dd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rasa Mono TC"/>
        <scheme val="none"/>
      </font>
      <numFmt numFmtId="176" formatCode="mm/dd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rasa Mono TC"/>
        <scheme val="none"/>
      </font>
      <numFmt numFmtId="176" formatCode="mm/dd;@"/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Sarasa Mono TC"/>
        <scheme val="none"/>
      </font>
      <numFmt numFmtId="1" formatCode="0"/>
      <fill>
        <patternFill patternType="solid">
          <fgColor indexed="64"/>
          <bgColor rgb="FF92D05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Sarasa Mono TC"/>
        <scheme val="none"/>
      </font>
      <fill>
        <patternFill patternType="solid">
          <fgColor indexed="64"/>
          <bgColor rgb="FF92D05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Sarasa Mono TC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Sarasa Mono TC"/>
        <scheme val="none"/>
      </font>
    </dxf>
    <dxf>
      <font>
        <strike val="0"/>
        <outline val="0"/>
        <shadow val="0"/>
        <u val="none"/>
        <vertAlign val="baseline"/>
        <sz val="12"/>
        <name val="Sarasa Mono TC"/>
        <scheme val="none"/>
      </font>
    </dxf>
    <dxf>
      <border>
        <bottom style="thick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name val="Sarasa Mono TC"/>
        <scheme val="none"/>
      </font>
      <alignment horizontal="center" vertical="bottom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179" formatCode="mm/dd/yy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4617702520194606E-2"/>
          <c:y val="2.5515729423657582E-2"/>
          <c:w val="0.97945230058295718"/>
          <c:h val="0.9726296294150832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Gantt!$M$4</c:f>
              <c:strCache>
                <c:ptCount val="1"/>
                <c:pt idx="0">
                  <c:v>Actual Start</c:v>
                </c:pt>
              </c:strCache>
            </c:strRef>
          </c:tx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Gantt!$C$5:$C$102</c:f>
              <c:numCache>
                <c:formatCode>General</c:formatCode>
                <c:ptCount val="98"/>
              </c:numCache>
            </c:numRef>
          </c:cat>
          <c:val>
            <c:numRef>
              <c:f>Gantt!$M$5:$M$102</c:f>
              <c:numCache>
                <c:formatCode>mm/dd\(ddd\)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0-4442-BF8B-ADCDE302F6E6}"/>
            </c:ext>
          </c:extLst>
        </c:ser>
        <c:ser>
          <c:idx val="1"/>
          <c:order val="1"/>
          <c:tx>
            <c:strRef>
              <c:f>Gantt!$O$4</c:f>
              <c:strCache>
                <c:ptCount val="1"/>
                <c:pt idx="0">
                  <c:v>Actual Days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Gantt!$C$5:$C$102</c:f>
              <c:numCache>
                <c:formatCode>General</c:formatCode>
                <c:ptCount val="98"/>
              </c:numCache>
            </c:numRef>
          </c:cat>
          <c:val>
            <c:numRef>
              <c:f>Gantt!$O$5:$O$102</c:f>
              <c:numCache>
                <c:formatCode>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General">
                  <c:v>0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0</c:v>
                </c:pt>
                <c:pt idx="61" formatCode="General">
                  <c:v>0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  <c:pt idx="66" formatCode="General">
                  <c:v>0</c:v>
                </c:pt>
                <c:pt idx="67" formatCode="General">
                  <c:v>0</c:v>
                </c:pt>
                <c:pt idx="68" formatCode="General">
                  <c:v>0</c:v>
                </c:pt>
                <c:pt idx="69" formatCode="General">
                  <c:v>0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0</c:v>
                </c:pt>
                <c:pt idx="73" formatCode="General">
                  <c:v>0</c:v>
                </c:pt>
                <c:pt idx="74" formatCode="General">
                  <c:v>0</c:v>
                </c:pt>
                <c:pt idx="75" formatCode="General">
                  <c:v>0</c:v>
                </c:pt>
                <c:pt idx="76" formatCode="General">
                  <c:v>0</c:v>
                </c:pt>
                <c:pt idx="77" formatCode="General">
                  <c:v>0</c:v>
                </c:pt>
                <c:pt idx="78" formatCode="General">
                  <c:v>0</c:v>
                </c:pt>
                <c:pt idx="79" formatCode="General">
                  <c:v>0</c:v>
                </c:pt>
                <c:pt idx="80" formatCode="General">
                  <c:v>0</c:v>
                </c:pt>
                <c:pt idx="81" formatCode="General">
                  <c:v>0</c:v>
                </c:pt>
                <c:pt idx="82" formatCode="General">
                  <c:v>0</c:v>
                </c:pt>
                <c:pt idx="83" formatCode="General">
                  <c:v>0</c:v>
                </c:pt>
                <c:pt idx="84" formatCode="General">
                  <c:v>0</c:v>
                </c:pt>
                <c:pt idx="85" formatCode="General">
                  <c:v>0</c:v>
                </c:pt>
                <c:pt idx="86" formatCode="General">
                  <c:v>0</c:v>
                </c:pt>
                <c:pt idx="87" formatCode="General">
                  <c:v>0</c:v>
                </c:pt>
                <c:pt idx="88" formatCode="General">
                  <c:v>0</c:v>
                </c:pt>
                <c:pt idx="89" formatCode="General">
                  <c:v>0</c:v>
                </c:pt>
                <c:pt idx="90" formatCode="General">
                  <c:v>0</c:v>
                </c:pt>
                <c:pt idx="91" formatCode="General">
                  <c:v>0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0-4442-BF8B-ADCDE302F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100"/>
        <c:axId val="427250960"/>
        <c:axId val="198616944"/>
      </c:barChart>
      <c:catAx>
        <c:axId val="427250960"/>
        <c:scaling>
          <c:orientation val="maxMin"/>
        </c:scaling>
        <c:delete val="1"/>
        <c:axPos val="l"/>
        <c:majorGridlines/>
        <c:numFmt formatCode="General" sourceLinked="1"/>
        <c:majorTickMark val="out"/>
        <c:minorTickMark val="none"/>
        <c:tickLblPos val="none"/>
        <c:crossAx val="198616944"/>
        <c:crosses val="autoZero"/>
        <c:auto val="1"/>
        <c:lblAlgn val="ctr"/>
        <c:lblOffset val="100"/>
        <c:noMultiLvlLbl val="0"/>
      </c:catAx>
      <c:valAx>
        <c:axId val="198616944"/>
        <c:scaling>
          <c:orientation val="minMax"/>
          <c:max val="46020"/>
          <c:min val="45962"/>
        </c:scaling>
        <c:delete val="0"/>
        <c:axPos val="t"/>
        <c:majorGridlines/>
        <c:numFmt formatCode="mm/dd;@" sourceLinked="0"/>
        <c:majorTickMark val="out"/>
        <c:minorTickMark val="in"/>
        <c:tickLblPos val="nextTo"/>
        <c:spPr>
          <a:ln w="15875">
            <a:solidFill>
              <a:sysClr val="windowText" lastClr="000000">
                <a:lumMod val="65000"/>
                <a:lumOff val="35000"/>
              </a:sysClr>
            </a:solidFill>
          </a:ln>
        </c:spPr>
        <c:txPr>
          <a:bodyPr rot="0"/>
          <a:lstStyle/>
          <a:p>
            <a:pPr>
              <a:defRPr/>
            </a:pPr>
            <a:endParaRPr lang="zh-TW"/>
          </a:p>
        </c:txPr>
        <c:crossAx val="427250960"/>
        <c:crosses val="autoZero"/>
        <c:crossBetween val="between"/>
        <c:majorUnit val="7"/>
        <c:minorUnit val="1"/>
      </c:valAx>
    </c:plotArea>
    <c:plotVisOnly val="1"/>
    <c:dispBlanksAs val="gap"/>
    <c:showDLblsOverMax val="0"/>
  </c:chart>
  <c:spPr>
    <a:solidFill>
      <a:sysClr val="window" lastClr="FFFFFF"/>
    </a:solidFill>
    <a:ln>
      <a:noFill/>
    </a:ln>
  </c:spPr>
  <c:printSettings>
    <c:headerFooter/>
    <c:pageMargins b="0.750000000000002" l="0.70000000000000062" r="0.70000000000000062" t="0.75000000000000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52823</xdr:colOff>
      <xdr:row>1</xdr:row>
      <xdr:rowOff>112057</xdr:rowOff>
    </xdr:from>
    <xdr:to>
      <xdr:col>40</xdr:col>
      <xdr:colOff>142875</xdr:colOff>
      <xdr:row>102</xdr:row>
      <xdr:rowOff>63500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表格3" displayName="表格3" ref="S2:U20" totalsRowShown="0" headerRowDxfId="22" dataDxfId="21">
  <autoFilter ref="S2:U20"/>
  <tableColumns count="3">
    <tableColumn id="1" name="修改人" dataDxfId="20"/>
    <tableColumn id="2" name="日期" dataDxfId="19"/>
    <tableColumn id="3" name="修改項目" dataDxfId="1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5" name="gantt_tr2" displayName="gantt_tr2" ref="A4:O102" totalsRowShown="0" headerRowDxfId="17" dataDxfId="15" headerRowBorderDxfId="16">
  <autoFilter ref="A4:O102"/>
  <sortState ref="A5:P102">
    <sortCondition ref="E4:E102"/>
  </sortState>
  <tableColumns count="15">
    <tableColumn id="11" name="分類" dataDxfId="14"/>
    <tableColumn id="8" name="idx" dataDxfId="13"/>
    <tableColumn id="1" name="事項" dataDxfId="12"/>
    <tableColumn id="9" name="備註" dataDxfId="11" dataCellStyle="一般 2"/>
    <tableColumn id="5" name="Start" dataDxfId="10" dataCellStyle="一般 2"/>
    <tableColumn id="15" name="End" dataDxfId="9">
      <calculatedColumnFormula>IFERROR(IF(gantt_tr2[[#This Row],[work on holiday]]="Y",gantt_tr2[[#This Row],[Start]]+gantt_tr2[[#This Row],[Duration]],WORKDAY(gantt_tr2[[#This Row],[Start]],gantt_tr2[[#This Row],[Duration]],holidays)),"")</calculatedColumnFormula>
    </tableColumn>
    <tableColumn id="14" name="Blur End" dataDxfId="8">
      <calculatedColumnFormula>IFERROR(MONTH(gantt_tr2[[#This Row],[Actual End]]) &amp; "/" &amp; IF(DAY(gantt_tr2[[#This Row],[Actual End]])&lt;10,"B",IF(DAY(gantt_tr2[[#This Row],[Actual End]])&lt;20,"M","E")),"")</calculatedColumnFormula>
    </tableColumn>
    <tableColumn id="4" name="Duration" dataDxfId="7" dataCellStyle="一般 2"/>
    <tableColumn id="13" name="Delay" dataDxfId="6"/>
    <tableColumn id="10" name="TimeLine" dataDxfId="5" dataCellStyle="一般 2"/>
    <tableColumn id="6" name="work on holiday" dataDxfId="4" dataCellStyle="一般 2"/>
    <tableColumn id="12" name="實際投入日" dataDxfId="3">
      <calculatedColumnFormula>gantt_tr2[[#This Row],[Start]]+gantt_tr2[[#This Row],[Delay]]</calculatedColumnFormula>
    </tableColumn>
    <tableColumn id="2" name="Actual Start" dataDxfId="2">
      <calculatedColumnFormula>IFERROR(IF(gantt_tr2[Duration]="","",IF(gantt_tr2[Start]="",N4,gantt_tr2[Start])),"")</calculatedColumnFormula>
    </tableColumn>
    <tableColumn id="3" name="Actual End" dataDxfId="1">
      <calculatedColumnFormula>IFERROR(IF(gantt_tr2[[#This Row],[work on holiday]]="Y",gantt_tr2[[#This Row],[Actual Start]]+gantt_tr2[[#This Row],[Duration]],WORKDAY(gantt_tr2[[#This Row],[Actual Start]],gantt_tr2[[#This Row],[Duration]],holidays)),"")</calculatedColumnFormula>
    </tableColumn>
    <tableColumn id="7" name="Actual Days" dataDxfId="0">
      <calculatedColumnFormula>IFERROR(gantt_tr2[[#This Row],[Actual End]]-gantt_tr2[[#This Row],[Actual Start]],"")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U20"/>
  <sheetViews>
    <sheetView showGridLines="0" workbookViewId="0">
      <selection activeCell="T10" sqref="T10"/>
    </sheetView>
  </sheetViews>
  <sheetFormatPr defaultRowHeight="15.75"/>
  <cols>
    <col min="1" max="1" width="2.44140625" customWidth="1"/>
    <col min="2" max="17" width="2.6640625" style="3" customWidth="1"/>
    <col min="18" max="18" width="2.6640625" customWidth="1"/>
    <col min="19" max="19" width="8.77734375" style="1"/>
    <col min="20" max="20" width="10.77734375" style="1" customWidth="1"/>
    <col min="21" max="21" width="54" customWidth="1"/>
  </cols>
  <sheetData>
    <row r="1" spans="2:21">
      <c r="B1" s="3" t="s">
        <v>27</v>
      </c>
    </row>
    <row r="2" spans="2:21">
      <c r="S2" s="2" t="s">
        <v>6</v>
      </c>
      <c r="T2" s="2" t="s">
        <v>2</v>
      </c>
      <c r="U2" s="2" t="s">
        <v>7</v>
      </c>
    </row>
    <row r="3" spans="2:21">
      <c r="B3" s="3" t="s">
        <v>12</v>
      </c>
      <c r="S3" s="2" t="s">
        <v>8</v>
      </c>
      <c r="T3" s="5">
        <v>44180</v>
      </c>
      <c r="U3" s="3" t="s">
        <v>9</v>
      </c>
    </row>
    <row r="4" spans="2:21" ht="16.5">
      <c r="C4" s="3" t="s">
        <v>11</v>
      </c>
      <c r="S4" s="2" t="s">
        <v>8</v>
      </c>
      <c r="T4" s="5">
        <v>44180</v>
      </c>
      <c r="U4" s="3" t="s">
        <v>10</v>
      </c>
    </row>
    <row r="5" spans="2:21">
      <c r="C5" s="3" t="s">
        <v>13</v>
      </c>
      <c r="S5" s="2" t="s">
        <v>8</v>
      </c>
      <c r="T5" s="5">
        <v>44180</v>
      </c>
      <c r="U5" s="3" t="s">
        <v>18</v>
      </c>
    </row>
    <row r="6" spans="2:21">
      <c r="D6" s="3" t="s">
        <v>14</v>
      </c>
      <c r="S6" s="2" t="s">
        <v>8</v>
      </c>
      <c r="T6" s="5">
        <v>44180</v>
      </c>
      <c r="U6" s="3" t="s">
        <v>20</v>
      </c>
    </row>
    <row r="7" spans="2:21">
      <c r="S7" s="2" t="s">
        <v>8</v>
      </c>
      <c r="T7" s="5">
        <v>44257</v>
      </c>
      <c r="U7" s="3" t="s">
        <v>26</v>
      </c>
    </row>
    <row r="8" spans="2:21">
      <c r="B8" s="3" t="s">
        <v>16</v>
      </c>
      <c r="S8" s="2" t="s">
        <v>8</v>
      </c>
      <c r="T8" s="5">
        <v>44831</v>
      </c>
      <c r="U8" s="7" t="s">
        <v>31</v>
      </c>
    </row>
    <row r="9" spans="2:21">
      <c r="C9" s="3" t="s">
        <v>17</v>
      </c>
      <c r="S9" s="8" t="s">
        <v>32</v>
      </c>
      <c r="T9" s="5">
        <v>45133</v>
      </c>
      <c r="U9" s="9" t="s">
        <v>33</v>
      </c>
    </row>
    <row r="10" spans="2:21">
      <c r="S10" s="2"/>
      <c r="T10" s="5"/>
      <c r="U10" s="3"/>
    </row>
    <row r="11" spans="2:21">
      <c r="B11" s="3" t="s">
        <v>15</v>
      </c>
      <c r="S11" s="2"/>
      <c r="T11" s="5"/>
      <c r="U11" s="3"/>
    </row>
    <row r="12" spans="2:21">
      <c r="S12" s="2"/>
      <c r="T12" s="5"/>
      <c r="U12" s="3"/>
    </row>
    <row r="13" spans="2:21">
      <c r="S13" s="2"/>
      <c r="T13" s="5"/>
      <c r="U13" s="3"/>
    </row>
    <row r="14" spans="2:21">
      <c r="S14" s="2"/>
      <c r="T14" s="5"/>
      <c r="U14" s="3"/>
    </row>
    <row r="15" spans="2:21">
      <c r="S15" s="2"/>
      <c r="T15" s="5"/>
      <c r="U15" s="3"/>
    </row>
    <row r="16" spans="2:21">
      <c r="S16" s="2"/>
      <c r="T16" s="5"/>
      <c r="U16" s="3"/>
    </row>
    <row r="17" spans="19:21">
      <c r="S17" s="2"/>
      <c r="T17" s="5"/>
      <c r="U17" s="3"/>
    </row>
    <row r="18" spans="19:21">
      <c r="S18" s="2"/>
      <c r="T18" s="5"/>
      <c r="U18" s="3"/>
    </row>
    <row r="19" spans="19:21">
      <c r="S19" s="2"/>
      <c r="T19" s="5"/>
      <c r="U19" s="3"/>
    </row>
    <row r="20" spans="19:21">
      <c r="S20" s="2"/>
      <c r="T20" s="5"/>
      <c r="U20" s="3"/>
    </row>
  </sheetData>
  <phoneticPr fontId="1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02"/>
  <sheetViews>
    <sheetView showGridLines="0" tabSelected="1" topLeftCell="A4" zoomScaleNormal="100" workbookViewId="0">
      <pane xSplit="4" ySplit="1" topLeftCell="E5" activePane="bottomRight" state="frozen"/>
      <selection activeCell="A4" sqref="A4"/>
      <selection pane="topRight" activeCell="E4" sqref="E4"/>
      <selection pane="bottomLeft" activeCell="A5" sqref="A5"/>
      <selection pane="bottomRight" activeCell="C9" sqref="C9"/>
    </sheetView>
  </sheetViews>
  <sheetFormatPr defaultRowHeight="16.5"/>
  <cols>
    <col min="1" max="1" width="13.88671875" style="10" customWidth="1"/>
    <col min="2" max="2" width="7.109375" style="10" hidden="1" customWidth="1"/>
    <col min="3" max="3" width="24.109375" style="11" customWidth="1"/>
    <col min="4" max="4" width="15.88671875" style="10" customWidth="1"/>
    <col min="5" max="5" width="11.44140625" style="11" customWidth="1"/>
    <col min="6" max="7" width="11.44140625" style="51" customWidth="1"/>
    <col min="8" max="8" width="11.44140625" style="12" customWidth="1"/>
    <col min="10" max="11" width="8.88671875" style="10"/>
    <col min="12" max="12" width="12.44140625" style="13" customWidth="1"/>
    <col min="13" max="13" width="8.88671875" style="10"/>
    <col min="14" max="14" width="11.6640625" style="10" bestFit="1" customWidth="1"/>
    <col min="15" max="15" width="14.109375" style="11" bestFit="1" customWidth="1"/>
    <col min="16" max="16" width="18.21875" style="42" customWidth="1"/>
    <col min="17" max="17" width="3.109375" style="12" customWidth="1"/>
    <col min="18" max="18" width="10.109375" style="12" customWidth="1"/>
    <col min="19" max="19" width="10.88671875" style="10" customWidth="1"/>
    <col min="20" max="20" width="11" style="11" bestFit="1" customWidth="1"/>
    <col min="21" max="21" width="8" style="14" bestFit="1" customWidth="1"/>
    <col min="22" max="22" width="7.21875" style="14" customWidth="1"/>
    <col min="23" max="23" width="3.44140625" style="10" customWidth="1"/>
    <col min="24" max="24" width="8.88671875" style="10"/>
    <col min="25" max="25" width="11.77734375" style="10" customWidth="1"/>
    <col min="26" max="16384" width="8.88671875" style="10"/>
  </cols>
  <sheetData>
    <row r="1" spans="1:22">
      <c r="D1" s="11"/>
      <c r="E1" s="12"/>
      <c r="F1" s="46"/>
      <c r="G1" s="46"/>
      <c r="H1" s="11"/>
      <c r="I1" s="12"/>
      <c r="J1" s="13"/>
      <c r="K1" s="11"/>
      <c r="L1" s="12"/>
      <c r="M1" s="11"/>
      <c r="N1" s="14"/>
      <c r="O1" s="14"/>
      <c r="P1" s="10"/>
      <c r="Q1" s="10"/>
      <c r="R1" s="10"/>
      <c r="T1" s="10"/>
      <c r="U1" s="10"/>
      <c r="V1" s="10"/>
    </row>
    <row r="2" spans="1:22">
      <c r="D2" s="11"/>
      <c r="E2" s="12"/>
      <c r="F2" s="46"/>
      <c r="G2" s="46"/>
      <c r="H2" s="11"/>
      <c r="I2" s="12"/>
      <c r="J2" s="13"/>
      <c r="K2" s="11"/>
      <c r="L2" s="12"/>
      <c r="M2" s="11"/>
      <c r="N2" s="14"/>
      <c r="O2" s="14"/>
      <c r="P2" s="10"/>
      <c r="Q2" s="10"/>
      <c r="R2" s="10"/>
      <c r="T2" s="10"/>
      <c r="U2" s="10"/>
      <c r="V2" s="10"/>
    </row>
    <row r="3" spans="1:22">
      <c r="D3" s="11"/>
      <c r="E3" s="12"/>
      <c r="F3" s="46"/>
      <c r="G3" s="46"/>
      <c r="H3" s="11"/>
      <c r="I3" s="12"/>
      <c r="J3" s="13"/>
      <c r="K3" s="11"/>
      <c r="L3" s="12"/>
      <c r="M3" s="11"/>
      <c r="N3" s="14"/>
      <c r="O3" s="14"/>
      <c r="P3" s="10"/>
      <c r="Q3" s="10"/>
      <c r="R3" s="10"/>
      <c r="T3" s="10"/>
      <c r="U3" s="10"/>
      <c r="V3" s="10"/>
    </row>
    <row r="4" spans="1:22" s="45" customFormat="1" ht="17.25" thickBot="1">
      <c r="A4" s="43" t="s">
        <v>36</v>
      </c>
      <c r="B4" s="43" t="s">
        <v>28</v>
      </c>
      <c r="C4" s="15" t="s">
        <v>35</v>
      </c>
      <c r="D4" s="15" t="s">
        <v>1</v>
      </c>
      <c r="E4" s="44" t="s">
        <v>39</v>
      </c>
      <c r="F4" s="47" t="s">
        <v>40</v>
      </c>
      <c r="G4" s="47" t="s">
        <v>42</v>
      </c>
      <c r="H4" s="44" t="s">
        <v>41</v>
      </c>
      <c r="I4" s="44" t="s">
        <v>43</v>
      </c>
      <c r="J4" s="15" t="s">
        <v>44</v>
      </c>
      <c r="K4" s="15" t="s">
        <v>19</v>
      </c>
      <c r="L4" s="44" t="s">
        <v>29</v>
      </c>
      <c r="M4" s="43" t="s">
        <v>37</v>
      </c>
      <c r="N4" s="43" t="s">
        <v>38</v>
      </c>
      <c r="O4" s="43" t="s">
        <v>0</v>
      </c>
    </row>
    <row r="5" spans="1:22" ht="17.25" thickTop="1">
      <c r="C5" s="16"/>
      <c r="D5" s="16"/>
      <c r="E5" s="17"/>
      <c r="F5" s="48">
        <f>IFERROR(IF(gantt_tr2[[#This Row],[work on holiday]]="Y",gantt_tr2[[#This Row],[Start]]+gantt_tr2[[#This Row],[Duration]],WORKDAY(gantt_tr2[[#This Row],[Start]],gantt_tr2[[#This Row],[Duration]],holidays)),"")</f>
        <v>0</v>
      </c>
      <c r="G5" s="48" t="str">
        <f>IFERROR(MONTH(gantt_tr2[[#This Row],[End]]) &amp; "/" &amp; IF(DAY(gantt_tr2[[#This Row],[End]])&lt;10,"B",IF(DAY(gantt_tr2[[#This Row],[End]])&lt;20,"M","E")),"")</f>
        <v>1/B</v>
      </c>
      <c r="H5" s="18"/>
      <c r="I5" s="19"/>
      <c r="J5" s="20"/>
      <c r="K5" s="20"/>
      <c r="L5" s="21">
        <f>gantt_tr2[[#This Row],[Start]]+gantt_tr2[[#This Row],[Delay]]</f>
        <v>0</v>
      </c>
      <c r="M5" s="22" t="str">
        <f>IFERROR(IF(gantt_tr2[Duration]="","",IF(gantt_tr2[Start]="",N4,gantt_tr2[Start])),"")</f>
        <v/>
      </c>
      <c r="N5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5" s="24" t="str">
        <f>IFERROR(gantt_tr2[[#This Row],[Actual End]]-gantt_tr2[[#This Row],[Actual Start]],"")</f>
        <v/>
      </c>
      <c r="P5" s="10"/>
      <c r="Q5" s="10"/>
      <c r="R5" s="10"/>
      <c r="T5" s="10"/>
      <c r="U5" s="10"/>
      <c r="V5" s="10"/>
    </row>
    <row r="6" spans="1:22">
      <c r="C6" s="25"/>
      <c r="D6" s="28"/>
      <c r="E6" s="26"/>
      <c r="F6" s="49">
        <f>IFERROR(IF(gantt_tr2[[#This Row],[work on holiday]]="Y",gantt_tr2[[#This Row],[Start]]+gantt_tr2[[#This Row],[Duration]],WORKDAY(gantt_tr2[[#This Row],[Start]],gantt_tr2[[#This Row],[Duration]],holidays)),"")</f>
        <v>0</v>
      </c>
      <c r="G6" s="48" t="str">
        <f>IFERROR(MONTH(gantt_tr2[[#This Row],[End]]) &amp; "/" &amp; IF(DAY(gantt_tr2[[#This Row],[End]])&lt;10,"B",IF(DAY(gantt_tr2[[#This Row],[End]])&lt;20,"M","E")),"")</f>
        <v>1/B</v>
      </c>
      <c r="H6" s="27"/>
      <c r="I6" s="29"/>
      <c r="J6" s="30"/>
      <c r="K6" s="30"/>
      <c r="L6" s="21">
        <f>gantt_tr2[[#This Row],[Start]]+gantt_tr2[[#This Row],[Delay]]</f>
        <v>0</v>
      </c>
      <c r="M6" s="22" t="str">
        <f>IFERROR(IF(gantt_tr2[Duration]="","",IF(gantt_tr2[Start]="",N5,gantt_tr2[Start])),"")</f>
        <v/>
      </c>
      <c r="N6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6" s="24" t="str">
        <f>IFERROR(gantt_tr2[[#This Row],[Actual End]]-gantt_tr2[[#This Row],[Actual Start]],"")</f>
        <v/>
      </c>
      <c r="P6" s="10"/>
      <c r="Q6" s="10"/>
      <c r="R6" s="10"/>
      <c r="T6" s="10"/>
      <c r="U6" s="10"/>
      <c r="V6" s="10"/>
    </row>
    <row r="7" spans="1:22">
      <c r="C7" s="25"/>
      <c r="D7" s="28"/>
      <c r="E7" s="26"/>
      <c r="F7" s="49">
        <f>IFERROR(IF(gantt_tr2[[#This Row],[work on holiday]]="Y",gantt_tr2[[#This Row],[Start]]+gantt_tr2[[#This Row],[Duration]],WORKDAY(gantt_tr2[[#This Row],[Start]],gantt_tr2[[#This Row],[Duration]],holidays)),"")</f>
        <v>0</v>
      </c>
      <c r="G7" s="48" t="str">
        <f>IFERROR(MONTH(gantt_tr2[[#This Row],[End]]) &amp; "/" &amp; IF(DAY(gantt_tr2[[#This Row],[End]])&lt;10,"B",IF(DAY(gantt_tr2[[#This Row],[End]])&lt;20,"M","E")),"")</f>
        <v>1/B</v>
      </c>
      <c r="H7" s="27"/>
      <c r="I7" s="29"/>
      <c r="J7" s="30"/>
      <c r="K7" s="30"/>
      <c r="L7" s="21">
        <f>gantt_tr2[[#This Row],[Start]]+gantt_tr2[[#This Row],[Delay]]</f>
        <v>0</v>
      </c>
      <c r="M7" s="22" t="str">
        <f>IFERROR(IF(gantt_tr2[Duration]="","",IF(gantt_tr2[Start]="",N6,gantt_tr2[Start])),"")</f>
        <v/>
      </c>
      <c r="N7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7" s="24" t="str">
        <f>IFERROR(gantt_tr2[[#This Row],[Actual End]]-gantt_tr2[[#This Row],[Actual Start]],"")</f>
        <v/>
      </c>
      <c r="P7" s="10"/>
      <c r="Q7" s="10"/>
      <c r="R7" s="10"/>
      <c r="T7" s="10"/>
      <c r="U7" s="10"/>
      <c r="V7" s="10"/>
    </row>
    <row r="8" spans="1:22">
      <c r="C8" s="31"/>
      <c r="D8" s="28"/>
      <c r="E8" s="26"/>
      <c r="F8" s="49">
        <f>IFERROR(IF(gantt_tr2[[#This Row],[work on holiday]]="Y",gantt_tr2[[#This Row],[Start]]+gantt_tr2[[#This Row],[Duration]],WORKDAY(gantt_tr2[[#This Row],[Start]],gantt_tr2[[#This Row],[Duration]],holidays)),"")</f>
        <v>0</v>
      </c>
      <c r="G8" s="48" t="str">
        <f>IFERROR(MONTH(gantt_tr2[[#This Row],[End]]) &amp; "/" &amp; IF(DAY(gantt_tr2[[#This Row],[End]])&lt;10,"B",IF(DAY(gantt_tr2[[#This Row],[End]])&lt;20,"M","E")),"")</f>
        <v>1/B</v>
      </c>
      <c r="H8" s="27"/>
      <c r="I8" s="29"/>
      <c r="J8" s="30"/>
      <c r="K8" s="30"/>
      <c r="L8" s="21">
        <f>gantt_tr2[[#This Row],[Start]]+gantt_tr2[[#This Row],[Delay]]</f>
        <v>0</v>
      </c>
      <c r="M8" s="22" t="str">
        <f>IFERROR(IF(gantt_tr2[Duration]="","",IF(gantt_tr2[Start]="",N7,gantt_tr2[Start])),"")</f>
        <v/>
      </c>
      <c r="N8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8" s="24" t="str">
        <f>IFERROR(gantt_tr2[[#This Row],[Actual End]]-gantt_tr2[[#This Row],[Actual Start]],"")</f>
        <v/>
      </c>
      <c r="P8" s="10"/>
      <c r="Q8" s="10"/>
      <c r="R8" s="10"/>
      <c r="T8" s="10"/>
      <c r="U8" s="10"/>
      <c r="V8" s="10"/>
    </row>
    <row r="9" spans="1:22">
      <c r="C9" s="31"/>
      <c r="D9" s="28"/>
      <c r="E9" s="26"/>
      <c r="F9" s="49">
        <f>IFERROR(IF(gantt_tr2[[#This Row],[work on holiday]]="Y",gantt_tr2[[#This Row],[Start]]+gantt_tr2[[#This Row],[Duration]],WORKDAY(gantt_tr2[[#This Row],[Start]],gantt_tr2[[#This Row],[Duration]],holidays)),"")</f>
        <v>0</v>
      </c>
      <c r="G9" s="48" t="str">
        <f>IFERROR(MONTH(gantt_tr2[[#This Row],[End]]) &amp; "/" &amp; IF(DAY(gantt_tr2[[#This Row],[End]])&lt;10,"B",IF(DAY(gantt_tr2[[#This Row],[End]])&lt;20,"M","E")),"")</f>
        <v>1/B</v>
      </c>
      <c r="H9" s="27"/>
      <c r="I9" s="29"/>
      <c r="J9" s="30"/>
      <c r="K9" s="30"/>
      <c r="L9" s="21">
        <f>gantt_tr2[[#This Row],[Start]]+gantt_tr2[[#This Row],[Delay]]</f>
        <v>0</v>
      </c>
      <c r="M9" s="22" t="str">
        <f>IFERROR(IF(gantt_tr2[Duration]="","",IF(gantt_tr2[Start]="",N8,gantt_tr2[Start])),"")</f>
        <v/>
      </c>
      <c r="N9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9" s="24" t="str">
        <f>IFERROR(gantt_tr2[[#This Row],[Actual End]]-gantt_tr2[[#This Row],[Actual Start]],"")</f>
        <v/>
      </c>
      <c r="P9" s="10"/>
      <c r="Q9" s="10"/>
      <c r="R9" s="10"/>
      <c r="T9" s="10"/>
      <c r="U9" s="10"/>
      <c r="V9" s="10"/>
    </row>
    <row r="10" spans="1:22">
      <c r="C10" s="25"/>
      <c r="D10" s="28"/>
      <c r="E10" s="26"/>
      <c r="F10" s="49">
        <f>IFERROR(IF(gantt_tr2[[#This Row],[work on holiday]]="Y",gantt_tr2[[#This Row],[Start]]+gantt_tr2[[#This Row],[Duration]],WORKDAY(gantt_tr2[[#This Row],[Start]],gantt_tr2[[#This Row],[Duration]],holidays)),"")</f>
        <v>0</v>
      </c>
      <c r="G10" s="48" t="str">
        <f>IFERROR(MONTH(gantt_tr2[[#This Row],[End]]) &amp; "/" &amp; IF(DAY(gantt_tr2[[#This Row],[End]])&lt;10,"B",IF(DAY(gantt_tr2[[#This Row],[End]])&lt;20,"M","E")),"")</f>
        <v>1/B</v>
      </c>
      <c r="H10" s="27"/>
      <c r="I10" s="29"/>
      <c r="J10" s="30"/>
      <c r="K10" s="30"/>
      <c r="L10" s="21">
        <f>gantt_tr2[[#This Row],[Start]]+gantt_tr2[[#This Row],[Delay]]</f>
        <v>0</v>
      </c>
      <c r="M10" s="22" t="str">
        <f>IFERROR(IF(gantt_tr2[Duration]="","",IF(gantt_tr2[Start]="",N9,gantt_tr2[Start])),"")</f>
        <v/>
      </c>
      <c r="N10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10" s="24" t="str">
        <f>IFERROR(gantt_tr2[[#This Row],[Actual End]]-gantt_tr2[[#This Row],[Actual Start]],"")</f>
        <v/>
      </c>
      <c r="P10" s="10"/>
      <c r="Q10" s="10"/>
      <c r="R10" s="10"/>
      <c r="T10" s="10"/>
      <c r="U10" s="10"/>
      <c r="V10" s="10"/>
    </row>
    <row r="11" spans="1:22">
      <c r="C11" s="31"/>
      <c r="D11" s="28"/>
      <c r="E11" s="26"/>
      <c r="F11" s="49">
        <f>IFERROR(IF(gantt_tr2[[#This Row],[work on holiday]]="Y",gantt_tr2[[#This Row],[Start]]+gantt_tr2[[#This Row],[Duration]],WORKDAY(gantt_tr2[[#This Row],[Start]],gantt_tr2[[#This Row],[Duration]],holidays)),"")</f>
        <v>0</v>
      </c>
      <c r="G11" s="48" t="str">
        <f>IFERROR(MONTH(gantt_tr2[[#This Row],[End]]) &amp; "/" &amp; IF(DAY(gantt_tr2[[#This Row],[End]])&lt;10,"B",IF(DAY(gantt_tr2[[#This Row],[End]])&lt;20,"M","E")),"")</f>
        <v>1/B</v>
      </c>
      <c r="H11" s="27"/>
      <c r="I11" s="29"/>
      <c r="J11" s="30"/>
      <c r="K11" s="30"/>
      <c r="L11" s="32">
        <f>gantt_tr2[[#This Row],[Start]]+gantt_tr2[[#This Row],[Delay]]</f>
        <v>0</v>
      </c>
      <c r="M11" s="22" t="str">
        <f>IFERROR(IF(gantt_tr2[Duration]="","",IF(gantt_tr2[Start]="",N10,gantt_tr2[Start])),"")</f>
        <v/>
      </c>
      <c r="N11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11" s="24" t="str">
        <f>IFERROR(gantt_tr2[[#This Row],[Actual End]]-gantt_tr2[[#This Row],[Actual Start]],"")</f>
        <v/>
      </c>
      <c r="P11" s="10"/>
      <c r="Q11" s="10"/>
      <c r="R11" s="10"/>
      <c r="T11" s="10"/>
      <c r="U11" s="10"/>
      <c r="V11" s="10"/>
    </row>
    <row r="12" spans="1:22">
      <c r="C12" s="25"/>
      <c r="D12" s="28"/>
      <c r="E12" s="26"/>
      <c r="F12" s="49">
        <f>IFERROR(IF(gantt_tr2[[#This Row],[work on holiday]]="Y",gantt_tr2[[#This Row],[Start]]+gantt_tr2[[#This Row],[Duration]],WORKDAY(gantt_tr2[[#This Row],[Start]],gantt_tr2[[#This Row],[Duration]],holidays)),"")</f>
        <v>0</v>
      </c>
      <c r="G12" s="48" t="str">
        <f>IFERROR(MONTH(gantt_tr2[[#This Row],[End]]) &amp; "/" &amp; IF(DAY(gantt_tr2[[#This Row],[End]])&lt;10,"B",IF(DAY(gantt_tr2[[#This Row],[End]])&lt;20,"M","E")),"")</f>
        <v>1/B</v>
      </c>
      <c r="H12" s="27"/>
      <c r="I12" s="29"/>
      <c r="J12" s="30"/>
      <c r="K12" s="30"/>
      <c r="L12" s="21">
        <f>gantt_tr2[[#This Row],[Start]]+gantt_tr2[[#This Row],[Delay]]</f>
        <v>0</v>
      </c>
      <c r="M12" s="22" t="str">
        <f>IFERROR(IF(gantt_tr2[Duration]="","",IF(gantt_tr2[Start]="",N11,gantt_tr2[Start])),"")</f>
        <v/>
      </c>
      <c r="N12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12" s="24" t="str">
        <f>IFERROR(gantt_tr2[[#This Row],[Actual End]]-gantt_tr2[[#This Row],[Actual Start]],"")</f>
        <v/>
      </c>
      <c r="P12" s="10"/>
      <c r="Q12" s="10"/>
      <c r="R12" s="10"/>
      <c r="T12" s="10"/>
      <c r="U12" s="10"/>
      <c r="V12" s="10"/>
    </row>
    <row r="13" spans="1:22">
      <c r="C13" s="25"/>
      <c r="D13" s="28"/>
      <c r="E13" s="26"/>
      <c r="F13" s="49">
        <f>IFERROR(IF(gantt_tr2[[#This Row],[work on holiday]]="Y",gantt_tr2[[#This Row],[Start]]+gantt_tr2[[#This Row],[Duration]],WORKDAY(gantt_tr2[[#This Row],[Start]],gantt_tr2[[#This Row],[Duration]],holidays)),"")</f>
        <v>0</v>
      </c>
      <c r="G13" s="48" t="str">
        <f>IFERROR(MONTH(gantt_tr2[[#This Row],[End]]) &amp; "/" &amp; IF(DAY(gantt_tr2[[#This Row],[End]])&lt;10,"B",IF(DAY(gantt_tr2[[#This Row],[End]])&lt;20,"M","E")),"")</f>
        <v>1/B</v>
      </c>
      <c r="H13" s="27"/>
      <c r="I13" s="33"/>
      <c r="J13" s="30"/>
      <c r="K13" s="30"/>
      <c r="L13" s="32">
        <f>gantt_tr2[[#This Row],[Start]]+gantt_tr2[[#This Row],[Delay]]</f>
        <v>0</v>
      </c>
      <c r="M13" s="22" t="str">
        <f>IFERROR(IF(gantt_tr2[Duration]="","",IF(gantt_tr2[Start]="",N12,gantt_tr2[Start])),"")</f>
        <v/>
      </c>
      <c r="N13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13" s="24" t="str">
        <f>IFERROR(gantt_tr2[[#This Row],[Actual End]]-gantt_tr2[[#This Row],[Actual Start]],"")</f>
        <v/>
      </c>
      <c r="P13" s="10"/>
      <c r="Q13" s="10"/>
      <c r="R13" s="10"/>
      <c r="T13" s="10"/>
      <c r="U13" s="10"/>
      <c r="V13" s="10"/>
    </row>
    <row r="14" spans="1:22">
      <c r="C14" s="25"/>
      <c r="D14" s="28"/>
      <c r="E14" s="26"/>
      <c r="F14" s="49">
        <f>IFERROR(IF(gantt_tr2[[#This Row],[work on holiday]]="Y",gantt_tr2[[#This Row],[Start]]+gantt_tr2[[#This Row],[Duration]],WORKDAY(gantt_tr2[[#This Row],[Start]],gantt_tr2[[#This Row],[Duration]],holidays)),"")</f>
        <v>0</v>
      </c>
      <c r="G14" s="48" t="str">
        <f>IFERROR(MONTH(gantt_tr2[[#This Row],[End]]) &amp; "/" &amp; IF(DAY(gantt_tr2[[#This Row],[End]])&lt;10,"B",IF(DAY(gantt_tr2[[#This Row],[End]])&lt;20,"M","E")),"")</f>
        <v>1/B</v>
      </c>
      <c r="H14" s="27"/>
      <c r="I14" s="29"/>
      <c r="J14" s="30"/>
      <c r="K14" s="30"/>
      <c r="L14" s="32">
        <f>gantt_tr2[[#This Row],[Start]]+gantt_tr2[[#This Row],[Delay]]</f>
        <v>0</v>
      </c>
      <c r="M14" s="22" t="str">
        <f>IFERROR(IF(gantt_tr2[Duration]="","",IF(gantt_tr2[Start]="",N13,gantt_tr2[Start])),"")</f>
        <v/>
      </c>
      <c r="N14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14" s="24" t="str">
        <f>IFERROR(gantt_tr2[[#This Row],[Actual End]]-gantt_tr2[[#This Row],[Actual Start]],"")</f>
        <v/>
      </c>
      <c r="P14" s="10"/>
      <c r="Q14" s="10"/>
      <c r="R14" s="10"/>
      <c r="T14" s="10"/>
      <c r="U14" s="10"/>
      <c r="V14" s="10"/>
    </row>
    <row r="15" spans="1:22">
      <c r="C15" s="25"/>
      <c r="D15" s="28"/>
      <c r="E15" s="26"/>
      <c r="F15" s="49">
        <f>IFERROR(IF(gantt_tr2[[#This Row],[work on holiday]]="Y",gantt_tr2[[#This Row],[Start]]+gantt_tr2[[#This Row],[Duration]],WORKDAY(gantt_tr2[[#This Row],[Start]],gantt_tr2[[#This Row],[Duration]],holidays)),"")</f>
        <v>0</v>
      </c>
      <c r="G15" s="48" t="str">
        <f>IFERROR(MONTH(gantt_tr2[[#This Row],[End]]) &amp; "/" &amp; IF(DAY(gantt_tr2[[#This Row],[End]])&lt;10,"B",IF(DAY(gantt_tr2[[#This Row],[End]])&lt;20,"M","E")),"")</f>
        <v>1/B</v>
      </c>
      <c r="H15" s="27"/>
      <c r="I15" s="33"/>
      <c r="J15" s="30"/>
      <c r="K15" s="30"/>
      <c r="L15" s="32">
        <f>gantt_tr2[[#This Row],[Start]]+gantt_tr2[[#This Row],[Delay]]</f>
        <v>0</v>
      </c>
      <c r="M15" s="22" t="str">
        <f>IFERROR(IF(gantt_tr2[Duration]="","",IF(gantt_tr2[Start]="",N14,gantt_tr2[Start])),"")</f>
        <v/>
      </c>
      <c r="N15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15" s="24" t="str">
        <f>IFERROR(gantt_tr2[[#This Row],[Actual End]]-gantt_tr2[[#This Row],[Actual Start]],"")</f>
        <v/>
      </c>
      <c r="P15" s="10"/>
      <c r="Q15" s="10"/>
      <c r="R15" s="10"/>
      <c r="T15" s="10"/>
      <c r="U15" s="10"/>
      <c r="V15" s="10"/>
    </row>
    <row r="16" spans="1:22">
      <c r="C16" s="31"/>
      <c r="D16" s="28"/>
      <c r="E16" s="26"/>
      <c r="F16" s="49">
        <f>IFERROR(IF(gantt_tr2[[#This Row],[work on holiday]]="Y",gantt_tr2[[#This Row],[Start]]+gantt_tr2[[#This Row],[Duration]],WORKDAY(gantt_tr2[[#This Row],[Start]],gantt_tr2[[#This Row],[Duration]],holidays)),"")</f>
        <v>0</v>
      </c>
      <c r="G16" s="48" t="str">
        <f>IFERROR(MONTH(gantt_tr2[[#This Row],[End]]) &amp; "/" &amp; IF(DAY(gantt_tr2[[#This Row],[End]])&lt;10,"B",IF(DAY(gantt_tr2[[#This Row],[End]])&lt;20,"M","E")),"")</f>
        <v>1/B</v>
      </c>
      <c r="H16" s="27"/>
      <c r="I16" s="29"/>
      <c r="J16" s="30"/>
      <c r="K16" s="30"/>
      <c r="L16" s="32">
        <f>gantt_tr2[[#This Row],[Start]]+gantt_tr2[[#This Row],[Delay]]</f>
        <v>0</v>
      </c>
      <c r="M16" s="22" t="str">
        <f>IFERROR(IF(gantt_tr2[Duration]="","",IF(gantt_tr2[Start]="",N15,gantt_tr2[Start])),"")</f>
        <v/>
      </c>
      <c r="N16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16" s="24" t="str">
        <f>IFERROR(gantt_tr2[[#This Row],[Actual End]]-gantt_tr2[[#This Row],[Actual Start]],"")</f>
        <v/>
      </c>
      <c r="P16" s="10"/>
      <c r="Q16" s="10"/>
      <c r="R16" s="10"/>
      <c r="T16" s="10"/>
      <c r="U16" s="10"/>
      <c r="V16" s="10"/>
    </row>
    <row r="17" spans="3:22">
      <c r="C17" s="25"/>
      <c r="D17" s="28"/>
      <c r="E17" s="26"/>
      <c r="F17" s="49">
        <f>IFERROR(IF(gantt_tr2[[#This Row],[work on holiday]]="Y",gantt_tr2[[#This Row],[Start]]+gantt_tr2[[#This Row],[Duration]],WORKDAY(gantt_tr2[[#This Row],[Start]],gantt_tr2[[#This Row],[Duration]],holidays)),"")</f>
        <v>0</v>
      </c>
      <c r="G17" s="48" t="str">
        <f>IFERROR(MONTH(gantt_tr2[[#This Row],[End]]) &amp; "/" &amp; IF(DAY(gantt_tr2[[#This Row],[End]])&lt;10,"B",IF(DAY(gantt_tr2[[#This Row],[End]])&lt;20,"M","E")),"")</f>
        <v>1/B</v>
      </c>
      <c r="H17" s="27"/>
      <c r="I17" s="33"/>
      <c r="J17" s="30"/>
      <c r="K17" s="30"/>
      <c r="L17" s="32">
        <f>gantt_tr2[[#This Row],[Start]]+gantt_tr2[[#This Row],[Delay]]</f>
        <v>0</v>
      </c>
      <c r="M17" s="22" t="str">
        <f>IFERROR(IF(gantt_tr2[Duration]="","",IF(gantt_tr2[Start]="",N16,gantt_tr2[Start])),"")</f>
        <v/>
      </c>
      <c r="N17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17" s="24" t="str">
        <f>IFERROR(gantt_tr2[[#This Row],[Actual End]]-gantt_tr2[[#This Row],[Actual Start]],"")</f>
        <v/>
      </c>
      <c r="P17" s="10"/>
      <c r="Q17" s="10"/>
      <c r="R17" s="10"/>
      <c r="T17" s="10"/>
      <c r="U17" s="10"/>
      <c r="V17" s="10"/>
    </row>
    <row r="18" spans="3:22">
      <c r="C18" s="25"/>
      <c r="D18" s="28"/>
      <c r="E18" s="26"/>
      <c r="F18" s="49">
        <f>IFERROR(IF(gantt_tr2[[#This Row],[work on holiday]]="Y",gantt_tr2[[#This Row],[Start]]+gantt_tr2[[#This Row],[Duration]],WORKDAY(gantt_tr2[[#This Row],[Start]],gantt_tr2[[#This Row],[Duration]],holidays)),"")</f>
        <v>0</v>
      </c>
      <c r="G18" s="48" t="str">
        <f>IFERROR(MONTH(gantt_tr2[[#This Row],[End]]) &amp; "/" &amp; IF(DAY(gantt_tr2[[#This Row],[End]])&lt;10,"B",IF(DAY(gantt_tr2[[#This Row],[End]])&lt;20,"M","E")),"")</f>
        <v>1/B</v>
      </c>
      <c r="H18" s="27"/>
      <c r="I18" s="33"/>
      <c r="J18" s="30"/>
      <c r="K18" s="30"/>
      <c r="L18" s="32">
        <f>gantt_tr2[[#This Row],[Start]]+gantt_tr2[[#This Row],[Delay]]</f>
        <v>0</v>
      </c>
      <c r="M18" s="22" t="str">
        <f>IFERROR(IF(gantt_tr2[Duration]="","",IF(gantt_tr2[Start]="",N17,gantt_tr2[Start])),"")</f>
        <v/>
      </c>
      <c r="N18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18" s="24" t="str">
        <f>IFERROR(gantt_tr2[[#This Row],[Actual End]]-gantt_tr2[[#This Row],[Actual Start]],"")</f>
        <v/>
      </c>
      <c r="P18" s="10"/>
      <c r="Q18" s="10"/>
      <c r="R18" s="10"/>
      <c r="T18" s="10"/>
      <c r="U18" s="10"/>
      <c r="V18" s="10"/>
    </row>
    <row r="19" spans="3:22">
      <c r="C19" s="25"/>
      <c r="D19" s="28"/>
      <c r="E19" s="26"/>
      <c r="F19" s="49">
        <f>IFERROR(IF(gantt_tr2[[#This Row],[work on holiday]]="Y",gantt_tr2[[#This Row],[Start]]+gantt_tr2[[#This Row],[Duration]],WORKDAY(gantt_tr2[[#This Row],[Start]],gantt_tr2[[#This Row],[Duration]],holidays)),"")</f>
        <v>0</v>
      </c>
      <c r="G19" s="48" t="str">
        <f>IFERROR(MONTH(gantt_tr2[[#This Row],[End]]) &amp; "/" &amp; IF(DAY(gantt_tr2[[#This Row],[End]])&lt;10,"B",IF(DAY(gantt_tr2[[#This Row],[End]])&lt;20,"M","E")),"")</f>
        <v>1/B</v>
      </c>
      <c r="H19" s="27"/>
      <c r="I19" s="33"/>
      <c r="J19" s="30"/>
      <c r="K19" s="30"/>
      <c r="L19" s="32">
        <f>gantt_tr2[[#This Row],[Start]]+gantt_tr2[[#This Row],[Delay]]</f>
        <v>0</v>
      </c>
      <c r="M19" s="22" t="str">
        <f>IFERROR(IF(gantt_tr2[Duration]="","",IF(gantt_tr2[Start]="",N18,gantt_tr2[Start])),"")</f>
        <v/>
      </c>
      <c r="N19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19" s="24" t="str">
        <f>IFERROR(gantt_tr2[[#This Row],[Actual End]]-gantt_tr2[[#This Row],[Actual Start]],"")</f>
        <v/>
      </c>
      <c r="P19" s="10"/>
      <c r="Q19" s="10"/>
      <c r="R19" s="10"/>
      <c r="T19" s="10"/>
      <c r="U19" s="10"/>
      <c r="V19" s="10"/>
    </row>
    <row r="20" spans="3:22">
      <c r="C20" s="25"/>
      <c r="D20" s="28"/>
      <c r="E20" s="26"/>
      <c r="F20" s="49">
        <f>IFERROR(IF(gantt_tr2[[#This Row],[work on holiday]]="Y",gantt_tr2[[#This Row],[Start]]+gantt_tr2[[#This Row],[Duration]],WORKDAY(gantt_tr2[[#This Row],[Start]],gantt_tr2[[#This Row],[Duration]],holidays)),"")</f>
        <v>0</v>
      </c>
      <c r="G20" s="48" t="str">
        <f>IFERROR(MONTH(gantt_tr2[[#This Row],[End]]) &amp; "/" &amp; IF(DAY(gantt_tr2[[#This Row],[End]])&lt;10,"B",IF(DAY(gantt_tr2[[#This Row],[End]])&lt;20,"M","E")),"")</f>
        <v>1/B</v>
      </c>
      <c r="H20" s="27"/>
      <c r="I20" s="33"/>
      <c r="J20" s="30"/>
      <c r="K20" s="30"/>
      <c r="L20" s="32">
        <f>gantt_tr2[[#This Row],[Start]]+gantt_tr2[[#This Row],[Delay]]</f>
        <v>0</v>
      </c>
      <c r="M20" s="22" t="str">
        <f>IFERROR(IF(gantt_tr2[Duration]="","",IF(gantt_tr2[Start]="",N19,gantt_tr2[Start])),"")</f>
        <v/>
      </c>
      <c r="N20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20" s="24" t="str">
        <f>IFERROR(gantt_tr2[[#This Row],[Actual End]]-gantt_tr2[[#This Row],[Actual Start]],"")</f>
        <v/>
      </c>
      <c r="P20" s="10"/>
      <c r="Q20" s="10"/>
      <c r="R20" s="10"/>
      <c r="T20" s="10"/>
      <c r="U20" s="10"/>
      <c r="V20" s="10"/>
    </row>
    <row r="21" spans="3:22">
      <c r="C21" s="31"/>
      <c r="D21" s="28"/>
      <c r="E21" s="26"/>
      <c r="F21" s="49">
        <f>IFERROR(IF(gantt_tr2[[#This Row],[work on holiday]]="Y",gantt_tr2[[#This Row],[Start]]+gantt_tr2[[#This Row],[Duration]],WORKDAY(gantt_tr2[[#This Row],[Start]],gantt_tr2[[#This Row],[Duration]],holidays)),"")</f>
        <v>0</v>
      </c>
      <c r="G21" s="48" t="str">
        <f>IFERROR(MONTH(gantt_tr2[[#This Row],[End]]) &amp; "/" &amp; IF(DAY(gantt_tr2[[#This Row],[End]])&lt;10,"B",IF(DAY(gantt_tr2[[#This Row],[End]])&lt;20,"M","E")),"")</f>
        <v>1/B</v>
      </c>
      <c r="H21" s="27"/>
      <c r="I21" s="29"/>
      <c r="J21" s="30"/>
      <c r="K21" s="30"/>
      <c r="L21" s="32">
        <f>gantt_tr2[[#This Row],[Start]]+gantt_tr2[[#This Row],[Delay]]</f>
        <v>0</v>
      </c>
      <c r="M21" s="22" t="str">
        <f>IFERROR(IF(gantt_tr2[Duration]="","",IF(gantt_tr2[Start]="",N20,gantt_tr2[Start])),"")</f>
        <v/>
      </c>
      <c r="N21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21" s="34" t="str">
        <f>IFERROR(gantt_tr2[[#This Row],[Actual End]]-gantt_tr2[[#This Row],[Actual Start]],"")</f>
        <v/>
      </c>
      <c r="P21" s="10"/>
      <c r="Q21" s="10"/>
      <c r="R21" s="10"/>
      <c r="T21" s="10"/>
      <c r="U21" s="10"/>
      <c r="V21" s="10"/>
    </row>
    <row r="22" spans="3:22">
      <c r="C22" s="25"/>
      <c r="D22" s="28"/>
      <c r="E22" s="26"/>
      <c r="F22" s="49">
        <f>IFERROR(IF(gantt_tr2[[#This Row],[work on holiday]]="Y",gantt_tr2[[#This Row],[Start]]+gantt_tr2[[#This Row],[Duration]],WORKDAY(gantt_tr2[[#This Row],[Start]],gantt_tr2[[#This Row],[Duration]],holidays)),"")</f>
        <v>0</v>
      </c>
      <c r="G22" s="48" t="str">
        <f>IFERROR(MONTH(gantt_tr2[[#This Row],[End]]) &amp; "/" &amp; IF(DAY(gantt_tr2[[#This Row],[End]])&lt;10,"B",IF(DAY(gantt_tr2[[#This Row],[End]])&lt;20,"M","E")),"")</f>
        <v>1/B</v>
      </c>
      <c r="H22" s="27"/>
      <c r="I22" s="33"/>
      <c r="J22" s="30"/>
      <c r="K22" s="30"/>
      <c r="L22" s="32">
        <f>gantt_tr2[[#This Row],[Start]]+gantt_tr2[[#This Row],[Delay]]</f>
        <v>0</v>
      </c>
      <c r="M22" s="22" t="str">
        <f>IFERROR(IF(gantt_tr2[Duration]="","",IF(gantt_tr2[Start]="",N21,gantt_tr2[Start])),"")</f>
        <v/>
      </c>
      <c r="N22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22" s="34" t="str">
        <f>IFERROR(gantt_tr2[[#This Row],[Actual End]]-gantt_tr2[[#This Row],[Actual Start]],"")</f>
        <v/>
      </c>
      <c r="P22" s="10"/>
      <c r="Q22" s="10"/>
      <c r="R22" s="10"/>
      <c r="T22" s="10"/>
      <c r="U22" s="10"/>
      <c r="V22" s="10"/>
    </row>
    <row r="23" spans="3:22">
      <c r="C23" s="25"/>
      <c r="D23" s="25"/>
      <c r="E23" s="26"/>
      <c r="F23" s="49">
        <f>IFERROR(IF(gantt_tr2[[#This Row],[work on holiday]]="Y",gantt_tr2[[#This Row],[Start]]+gantt_tr2[[#This Row],[Duration]],WORKDAY(gantt_tr2[[#This Row],[Start]],gantt_tr2[[#This Row],[Duration]],holidays)),"")</f>
        <v>0</v>
      </c>
      <c r="G23" s="48" t="str">
        <f>IFERROR(MONTH(gantt_tr2[[#This Row],[End]]) &amp; "/" &amp; IF(DAY(gantt_tr2[[#This Row],[End]])&lt;10,"B",IF(DAY(gantt_tr2[[#This Row],[End]])&lt;20,"M","E")),"")</f>
        <v>1/B</v>
      </c>
      <c r="H23" s="35"/>
      <c r="I23" s="33"/>
      <c r="J23" s="30"/>
      <c r="K23" s="30"/>
      <c r="L23" s="32">
        <f>gantt_tr2[[#This Row],[Start]]+gantt_tr2[[#This Row],[Delay]]</f>
        <v>0</v>
      </c>
      <c r="M23" s="22" t="str">
        <f>IFERROR(IF(gantt_tr2[Duration]="","",IF(gantt_tr2[Start]="",N22,gantt_tr2[Start])),"")</f>
        <v/>
      </c>
      <c r="N23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23" s="34" t="str">
        <f>IFERROR(gantt_tr2[[#This Row],[Actual End]]-gantt_tr2[[#This Row],[Actual Start]],"")</f>
        <v/>
      </c>
      <c r="P23" s="10"/>
      <c r="Q23" s="10"/>
      <c r="R23" s="10"/>
      <c r="T23" s="10"/>
      <c r="U23" s="10"/>
      <c r="V23" s="10"/>
    </row>
    <row r="24" spans="3:22">
      <c r="C24" s="25"/>
      <c r="D24" s="25"/>
      <c r="E24" s="26"/>
      <c r="F24" s="49">
        <f>IFERROR(IF(gantt_tr2[[#This Row],[work on holiday]]="Y",gantt_tr2[[#This Row],[Start]]+gantt_tr2[[#This Row],[Duration]],WORKDAY(gantt_tr2[[#This Row],[Start]],gantt_tr2[[#This Row],[Duration]],holidays)),"")</f>
        <v>0</v>
      </c>
      <c r="G24" s="48" t="str">
        <f>IFERROR(MONTH(gantt_tr2[[#This Row],[End]]) &amp; "/" &amp; IF(DAY(gantt_tr2[[#This Row],[End]])&lt;10,"B",IF(DAY(gantt_tr2[[#This Row],[End]])&lt;20,"M","E")),"")</f>
        <v>1/B</v>
      </c>
      <c r="H24" s="35"/>
      <c r="I24" s="29"/>
      <c r="J24" s="30"/>
      <c r="K24" s="30"/>
      <c r="L24" s="32">
        <f>gantt_tr2[[#This Row],[Start]]+gantt_tr2[[#This Row],[Delay]]</f>
        <v>0</v>
      </c>
      <c r="M24" s="22" t="str">
        <f>IFERROR(IF(gantt_tr2[Duration]="","",IF(gantt_tr2[Start]="",N23,gantt_tr2[Start])),"")</f>
        <v/>
      </c>
      <c r="N24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24" s="34" t="str">
        <f>IFERROR(gantt_tr2[[#This Row],[Actual End]]-gantt_tr2[[#This Row],[Actual Start]],"")</f>
        <v/>
      </c>
      <c r="P24" s="10"/>
      <c r="Q24" s="10"/>
      <c r="R24" s="10"/>
      <c r="T24" s="10"/>
      <c r="U24" s="10"/>
      <c r="V24" s="10"/>
    </row>
    <row r="25" spans="3:22">
      <c r="C25" s="31"/>
      <c r="D25" s="31"/>
      <c r="E25" s="26"/>
      <c r="F25" s="49">
        <f>IFERROR(IF(gantt_tr2[[#This Row],[work on holiday]]="Y",gantt_tr2[[#This Row],[Start]]+gantt_tr2[[#This Row],[Duration]],WORKDAY(gantt_tr2[[#This Row],[Start]],gantt_tr2[[#This Row],[Duration]],holidays)),"")</f>
        <v>0</v>
      </c>
      <c r="G25" s="48" t="str">
        <f>IFERROR(MONTH(gantt_tr2[[#This Row],[End]]) &amp; "/" &amp; IF(DAY(gantt_tr2[[#This Row],[End]])&lt;10,"B",IF(DAY(gantt_tr2[[#This Row],[End]])&lt;20,"M","E")),"")</f>
        <v>1/B</v>
      </c>
      <c r="H25" s="35"/>
      <c r="I25" s="33"/>
      <c r="J25" s="30"/>
      <c r="K25" s="30"/>
      <c r="L25" s="21">
        <f>gantt_tr2[[#This Row],[Start]]+gantt_tr2[[#This Row],[Delay]]</f>
        <v>0</v>
      </c>
      <c r="M25" s="22" t="str">
        <f>IFERROR(IF(gantt_tr2[Duration]="","",IF(gantt_tr2[Start]="",N24,gantt_tr2[Start])),"")</f>
        <v/>
      </c>
      <c r="N25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25" s="34" t="str">
        <f>IFERROR(gantt_tr2[[#This Row],[Actual End]]-gantt_tr2[[#This Row],[Actual Start]],"")</f>
        <v/>
      </c>
      <c r="P25" s="10"/>
      <c r="Q25" s="10"/>
      <c r="R25" s="10"/>
      <c r="T25" s="10"/>
      <c r="U25" s="10"/>
      <c r="V25" s="10"/>
    </row>
    <row r="26" spans="3:22">
      <c r="C26" s="25"/>
      <c r="D26" s="25"/>
      <c r="E26" s="26"/>
      <c r="F26" s="49">
        <f>IFERROR(IF(gantt_tr2[[#This Row],[work on holiday]]="Y",gantt_tr2[[#This Row],[Start]]+gantt_tr2[[#This Row],[Duration]],WORKDAY(gantt_tr2[[#This Row],[Start]],gantt_tr2[[#This Row],[Duration]],holidays)),"")</f>
        <v>0</v>
      </c>
      <c r="G26" s="48" t="str">
        <f>IFERROR(MONTH(gantt_tr2[[#This Row],[End]]) &amp; "/" &amp; IF(DAY(gantt_tr2[[#This Row],[End]])&lt;10,"B",IF(DAY(gantt_tr2[[#This Row],[End]])&lt;20,"M","E")),"")</f>
        <v>1/B</v>
      </c>
      <c r="H26" s="35"/>
      <c r="I26" s="33"/>
      <c r="J26" s="30"/>
      <c r="K26" s="30"/>
      <c r="L26" s="32">
        <f>gantt_tr2[[#This Row],[Start]]+gantt_tr2[[#This Row],[Delay]]</f>
        <v>0</v>
      </c>
      <c r="M26" s="22" t="str">
        <f>IFERROR(IF(gantt_tr2[Duration]="","",IF(gantt_tr2[Start]="",N25,gantt_tr2[Start])),"")</f>
        <v/>
      </c>
      <c r="N26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26" s="34" t="str">
        <f>IFERROR(gantt_tr2[[#This Row],[Actual End]]-gantt_tr2[[#This Row],[Actual Start]],"")</f>
        <v/>
      </c>
      <c r="P26" s="10"/>
      <c r="Q26" s="10"/>
      <c r="R26" s="10"/>
      <c r="T26" s="10"/>
      <c r="U26" s="10"/>
      <c r="V26" s="10"/>
    </row>
    <row r="27" spans="3:22">
      <c r="C27" s="25"/>
      <c r="D27" s="25"/>
      <c r="E27" s="26"/>
      <c r="F27" s="49">
        <f>IFERROR(IF(gantt_tr2[[#This Row],[work on holiday]]="Y",gantt_tr2[[#This Row],[Start]]+gantt_tr2[[#This Row],[Duration]],WORKDAY(gantt_tr2[[#This Row],[Start]],gantt_tr2[[#This Row],[Duration]],holidays)),"")</f>
        <v>0</v>
      </c>
      <c r="G27" s="48" t="str">
        <f>IFERROR(MONTH(gantt_tr2[[#This Row],[End]]) &amp; "/" &amp; IF(DAY(gantt_tr2[[#This Row],[End]])&lt;10,"B",IF(DAY(gantt_tr2[[#This Row],[End]])&lt;20,"M","E")),"")</f>
        <v>1/B</v>
      </c>
      <c r="H27" s="35"/>
      <c r="I27" s="19"/>
      <c r="J27" s="30"/>
      <c r="K27" s="30"/>
      <c r="L27" s="32">
        <f>gantt_tr2[[#This Row],[Start]]+gantt_tr2[[#This Row],[Delay]]</f>
        <v>0</v>
      </c>
      <c r="M27" s="22" t="str">
        <f>IFERROR(IF(gantt_tr2[Duration]="","",IF(gantt_tr2[Start]="",N26,gantt_tr2[Start])),"")</f>
        <v/>
      </c>
      <c r="N27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27" s="34" t="str">
        <f>IFERROR(gantt_tr2[[#This Row],[Actual End]]-gantt_tr2[[#This Row],[Actual Start]],"")</f>
        <v/>
      </c>
      <c r="P27" s="10"/>
      <c r="Q27" s="10"/>
      <c r="R27" s="10"/>
      <c r="T27" s="10"/>
      <c r="U27" s="10"/>
      <c r="V27" s="10"/>
    </row>
    <row r="28" spans="3:22">
      <c r="C28" s="25"/>
      <c r="D28" s="25"/>
      <c r="E28" s="17"/>
      <c r="F28" s="48">
        <f>IFERROR(IF(gantt_tr2[[#This Row],[work on holiday]]="Y",gantt_tr2[[#This Row],[Start]]+gantt_tr2[[#This Row],[Duration]],WORKDAY(gantt_tr2[[#This Row],[Start]],gantt_tr2[[#This Row],[Duration]],holidays)),"")</f>
        <v>0</v>
      </c>
      <c r="G28" s="48" t="str">
        <f>IFERROR(MONTH(gantt_tr2[[#This Row],[End]]) &amp; "/" &amp; IF(DAY(gantt_tr2[[#This Row],[End]])&lt;10,"B",IF(DAY(gantt_tr2[[#This Row],[End]])&lt;20,"M","E")),"")</f>
        <v>1/B</v>
      </c>
      <c r="H28" s="27"/>
      <c r="I28" s="37"/>
      <c r="J28" s="30"/>
      <c r="K28" s="30"/>
      <c r="L28" s="32">
        <f>gantt_tr2[[#This Row],[Start]]+gantt_tr2[[#This Row],[Delay]]</f>
        <v>0</v>
      </c>
      <c r="M28" s="22" t="str">
        <f>IFERROR(IF(gantt_tr2[Duration]="","",IF(gantt_tr2[Start]="",N27,gantt_tr2[Start])),"")</f>
        <v/>
      </c>
      <c r="N28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28" s="34" t="str">
        <f>IFERROR(gantt_tr2[[#This Row],[Actual End]]-gantt_tr2[[#This Row],[Actual Start]],"")</f>
        <v/>
      </c>
      <c r="P28" s="10"/>
      <c r="Q28" s="10"/>
      <c r="R28" s="10"/>
      <c r="T28" s="10"/>
      <c r="U28" s="10"/>
      <c r="V28" s="10"/>
    </row>
    <row r="29" spans="3:22">
      <c r="C29" s="31"/>
      <c r="D29" s="38"/>
      <c r="E29" s="17"/>
      <c r="F29" s="48">
        <f>IFERROR(IF(gantt_tr2[[#This Row],[work on holiday]]="Y",gantt_tr2[[#This Row],[Start]]+gantt_tr2[[#This Row],[Duration]],WORKDAY(gantt_tr2[[#This Row],[Start]],gantt_tr2[[#This Row],[Duration]],holidays)),"")</f>
        <v>0</v>
      </c>
      <c r="G29" s="48" t="str">
        <f>IFERROR(MONTH(gantt_tr2[[#This Row],[End]]) &amp; "/" &amp; IF(DAY(gantt_tr2[[#This Row],[End]])&lt;10,"B",IF(DAY(gantt_tr2[[#This Row],[End]])&lt;20,"M","E")),"")</f>
        <v>1/B</v>
      </c>
      <c r="H29" s="35"/>
      <c r="I29" s="37"/>
      <c r="J29" s="30"/>
      <c r="K29" s="30"/>
      <c r="L29" s="32">
        <f>gantt_tr2[[#This Row],[Start]]+gantt_tr2[[#This Row],[Delay]]</f>
        <v>0</v>
      </c>
      <c r="M29" s="22" t="str">
        <f>IFERROR(IF(gantt_tr2[Duration]="","",IF(gantt_tr2[Start]="",N28,gantt_tr2[Start])),"")</f>
        <v/>
      </c>
      <c r="N29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29" s="34" t="str">
        <f>IFERROR(gantt_tr2[[#This Row],[Actual End]]-gantt_tr2[[#This Row],[Actual Start]],"")</f>
        <v/>
      </c>
      <c r="P29" s="10"/>
      <c r="Q29" s="10"/>
      <c r="R29" s="10"/>
      <c r="T29" s="10"/>
      <c r="U29" s="10"/>
      <c r="V29" s="10"/>
    </row>
    <row r="30" spans="3:22">
      <c r="C30" s="31"/>
      <c r="D30" s="38"/>
      <c r="E30" s="26"/>
      <c r="F30" s="49">
        <f>IFERROR(IF(gantt_tr2[[#This Row],[work on holiday]]="Y",gantt_tr2[[#This Row],[Start]]+gantt_tr2[[#This Row],[Duration]],WORKDAY(gantt_tr2[[#This Row],[Start]],gantt_tr2[[#This Row],[Duration]],holidays)),"")</f>
        <v>0</v>
      </c>
      <c r="G30" s="48" t="str">
        <f>IFERROR(MONTH(gantt_tr2[[#This Row],[End]]) &amp; "/" &amp; IF(DAY(gantt_tr2[[#This Row],[End]])&lt;10,"B",IF(DAY(gantt_tr2[[#This Row],[End]])&lt;20,"M","E")),"")</f>
        <v>1/B</v>
      </c>
      <c r="H30" s="35"/>
      <c r="I30" s="37"/>
      <c r="J30" s="30"/>
      <c r="K30" s="30"/>
      <c r="L30" s="32">
        <f>gantt_tr2[[#This Row],[Start]]+gantt_tr2[[#This Row],[Delay]]</f>
        <v>0</v>
      </c>
      <c r="M30" s="22" t="str">
        <f>IFERROR(IF(gantt_tr2[Duration]="","",IF(gantt_tr2[Start]="",N29,gantt_tr2[Start])),"")</f>
        <v/>
      </c>
      <c r="N30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30" s="34" t="str">
        <f>IFERROR(gantt_tr2[[#This Row],[Actual End]]-gantt_tr2[[#This Row],[Actual Start]],"")</f>
        <v/>
      </c>
      <c r="P30" s="10"/>
      <c r="Q30" s="10"/>
      <c r="R30" s="10"/>
      <c r="T30" s="10"/>
      <c r="U30" s="10"/>
      <c r="V30" s="10"/>
    </row>
    <row r="31" spans="3:22">
      <c r="C31" s="31"/>
      <c r="D31" s="31"/>
      <c r="E31" s="26"/>
      <c r="F31" s="49">
        <f>IFERROR(IF(gantt_tr2[[#This Row],[work on holiday]]="Y",gantt_tr2[[#This Row],[Start]]+gantt_tr2[[#This Row],[Duration]],WORKDAY(gantt_tr2[[#This Row],[Start]],gantt_tr2[[#This Row],[Duration]],holidays)),"")</f>
        <v>0</v>
      </c>
      <c r="G31" s="48" t="str">
        <f>IFERROR(MONTH(gantt_tr2[[#This Row],[End]]) &amp; "/" &amp; IF(DAY(gantt_tr2[[#This Row],[End]])&lt;10,"B",IF(DAY(gantt_tr2[[#This Row],[End]])&lt;20,"M","E")),"")</f>
        <v>1/B</v>
      </c>
      <c r="H31" s="35"/>
      <c r="I31" s="37"/>
      <c r="J31" s="30"/>
      <c r="K31" s="30"/>
      <c r="L31" s="32">
        <f>gantt_tr2[[#This Row],[Start]]+gantt_tr2[[#This Row],[Delay]]</f>
        <v>0</v>
      </c>
      <c r="M31" s="22" t="str">
        <f>IFERROR(IF(gantt_tr2[Duration]="","",IF(gantt_tr2[Start]="",N30,gantt_tr2[Start])),"")</f>
        <v/>
      </c>
      <c r="N31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31" s="34" t="str">
        <f>IFERROR(gantt_tr2[[#This Row],[Actual End]]-gantt_tr2[[#This Row],[Actual Start]],"")</f>
        <v/>
      </c>
      <c r="P31" s="10"/>
      <c r="Q31" s="10"/>
      <c r="R31" s="10"/>
      <c r="T31" s="10"/>
      <c r="U31" s="10"/>
      <c r="V31" s="10"/>
    </row>
    <row r="32" spans="3:22">
      <c r="C32" s="31"/>
      <c r="D32" s="25"/>
      <c r="E32" s="26"/>
      <c r="F32" s="49">
        <f>IFERROR(IF(gantt_tr2[[#This Row],[work on holiday]]="Y",gantt_tr2[[#This Row],[Start]]+gantt_tr2[[#This Row],[Duration]],WORKDAY(gantt_tr2[[#This Row],[Start]],gantt_tr2[[#This Row],[Duration]],holidays)),"")</f>
        <v>0</v>
      </c>
      <c r="G32" s="48" t="str">
        <f>IFERROR(MONTH(gantt_tr2[[#This Row],[End]]) &amp; "/" &amp; IF(DAY(gantt_tr2[[#This Row],[End]])&lt;10,"B",IF(DAY(gantt_tr2[[#This Row],[End]])&lt;20,"M","E")),"")</f>
        <v>1/B</v>
      </c>
      <c r="H32" s="35"/>
      <c r="I32" s="37"/>
      <c r="J32" s="30"/>
      <c r="K32" s="30"/>
      <c r="L32" s="32">
        <f>gantt_tr2[[#This Row],[Start]]+gantt_tr2[[#This Row],[Delay]]</f>
        <v>0</v>
      </c>
      <c r="M32" s="22" t="str">
        <f>IFERROR(IF(gantt_tr2[Duration]="","",IF(gantt_tr2[Start]="",N31,gantt_tr2[Start])),"")</f>
        <v/>
      </c>
      <c r="N32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32" s="34" t="str">
        <f>IFERROR(gantt_tr2[[#This Row],[Actual End]]-gantt_tr2[[#This Row],[Actual Start]],"")</f>
        <v/>
      </c>
      <c r="P32" s="10"/>
      <c r="Q32" s="10"/>
      <c r="R32" s="10"/>
      <c r="T32" s="10"/>
      <c r="U32" s="10"/>
      <c r="V32" s="10"/>
    </row>
    <row r="33" spans="3:22">
      <c r="C33" s="25"/>
      <c r="D33" s="25"/>
      <c r="E33" s="26"/>
      <c r="F33" s="49">
        <f>IFERROR(IF(gantt_tr2[[#This Row],[work on holiday]]="Y",gantt_tr2[[#This Row],[Start]]+gantt_tr2[[#This Row],[Duration]],WORKDAY(gantt_tr2[[#This Row],[Start]],gantt_tr2[[#This Row],[Duration]],holidays)),"")</f>
        <v>0</v>
      </c>
      <c r="G33" s="48" t="str">
        <f>IFERROR(MONTH(gantt_tr2[[#This Row],[End]]) &amp; "/" &amp; IF(DAY(gantt_tr2[[#This Row],[End]])&lt;10,"B",IF(DAY(gantt_tr2[[#This Row],[End]])&lt;20,"M","E")),"")</f>
        <v>1/B</v>
      </c>
      <c r="H33" s="35"/>
      <c r="I33" s="33"/>
      <c r="J33" s="30"/>
      <c r="K33" s="30"/>
      <c r="L33" s="32">
        <f>gantt_tr2[[#This Row],[Start]]+gantt_tr2[[#This Row],[Delay]]</f>
        <v>0</v>
      </c>
      <c r="M33" s="22" t="str">
        <f>IFERROR(IF(gantt_tr2[Duration]="","",IF(gantt_tr2[Start]="",N32,gantt_tr2[Start])),"")</f>
        <v/>
      </c>
      <c r="N33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33" s="34" t="str">
        <f>IFERROR(gantt_tr2[[#This Row],[Actual End]]-gantt_tr2[[#This Row],[Actual Start]],"")</f>
        <v/>
      </c>
      <c r="P33" s="10"/>
      <c r="Q33" s="10"/>
      <c r="R33" s="10"/>
      <c r="T33" s="10"/>
      <c r="U33" s="10"/>
      <c r="V33" s="10"/>
    </row>
    <row r="34" spans="3:22">
      <c r="C34" s="31"/>
      <c r="D34" s="28"/>
      <c r="E34" s="26"/>
      <c r="F34" s="49">
        <f>IFERROR(IF(gantt_tr2[[#This Row],[work on holiday]]="Y",gantt_tr2[[#This Row],[Start]]+gantt_tr2[[#This Row],[Duration]],WORKDAY(gantt_tr2[[#This Row],[Start]],gantt_tr2[[#This Row],[Duration]],holidays)),"")</f>
        <v>0</v>
      </c>
      <c r="G34" s="48" t="str">
        <f>IFERROR(MONTH(gantt_tr2[[#This Row],[End]]) &amp; "/" &amp; IF(DAY(gantt_tr2[[#This Row],[End]])&lt;10,"B",IF(DAY(gantt_tr2[[#This Row],[End]])&lt;20,"M","E")),"")</f>
        <v>1/B</v>
      </c>
      <c r="H34" s="27"/>
      <c r="I34" s="33"/>
      <c r="J34" s="30"/>
      <c r="K34" s="30"/>
      <c r="L34" s="32">
        <f>gantt_tr2[[#This Row],[Start]]+gantt_tr2[[#This Row],[Delay]]</f>
        <v>0</v>
      </c>
      <c r="M34" s="22" t="str">
        <f>IFERROR(IF(gantt_tr2[Duration]="","",IF(gantt_tr2[Start]="",N33,gantt_tr2[Start])),"")</f>
        <v/>
      </c>
      <c r="N34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34" s="34" t="str">
        <f>IFERROR(gantt_tr2[[#This Row],[Actual End]]-gantt_tr2[[#This Row],[Actual Start]],"")</f>
        <v/>
      </c>
      <c r="P34" s="10"/>
      <c r="Q34" s="10"/>
      <c r="R34" s="10"/>
      <c r="T34" s="10"/>
      <c r="U34" s="10"/>
      <c r="V34" s="10"/>
    </row>
    <row r="35" spans="3:22">
      <c r="C35" s="25"/>
      <c r="D35" s="28"/>
      <c r="E35" s="26"/>
      <c r="F35" s="49">
        <f>IFERROR(IF(gantt_tr2[[#This Row],[work on holiday]]="Y",gantt_tr2[[#This Row],[Start]]+gantt_tr2[[#This Row],[Duration]],WORKDAY(gantt_tr2[[#This Row],[Start]],gantt_tr2[[#This Row],[Duration]],holidays)),"")</f>
        <v>0</v>
      </c>
      <c r="G35" s="48" t="str">
        <f>IFERROR(MONTH(gantt_tr2[[#This Row],[End]]) &amp; "/" &amp; IF(DAY(gantt_tr2[[#This Row],[End]])&lt;10,"B",IF(DAY(gantt_tr2[[#This Row],[End]])&lt;20,"M","E")),"")</f>
        <v>1/B</v>
      </c>
      <c r="H35" s="27"/>
      <c r="I35" s="33"/>
      <c r="J35" s="30"/>
      <c r="K35" s="30"/>
      <c r="L35" s="32">
        <f>gantt_tr2[[#This Row],[Start]]+gantt_tr2[[#This Row],[Delay]]</f>
        <v>0</v>
      </c>
      <c r="M35" s="22" t="str">
        <f>IFERROR(IF(gantt_tr2[Duration]="","",IF(gantt_tr2[Start]="",N34,gantt_tr2[Start])),"")</f>
        <v/>
      </c>
      <c r="N35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35" s="34" t="str">
        <f>IFERROR(gantt_tr2[[#This Row],[Actual End]]-gantt_tr2[[#This Row],[Actual Start]],"")</f>
        <v/>
      </c>
      <c r="P35" s="10"/>
      <c r="Q35" s="10"/>
      <c r="R35" s="10"/>
      <c r="T35" s="10"/>
      <c r="U35" s="10"/>
      <c r="V35" s="10"/>
    </row>
    <row r="36" spans="3:22">
      <c r="C36" s="25"/>
      <c r="D36" s="28"/>
      <c r="E36" s="26"/>
      <c r="F36" s="49">
        <f>IFERROR(IF(gantt_tr2[[#This Row],[work on holiday]]="Y",gantt_tr2[[#This Row],[Start]]+gantt_tr2[[#This Row],[Duration]],WORKDAY(gantt_tr2[[#This Row],[Start]],gantt_tr2[[#This Row],[Duration]],holidays)),"")</f>
        <v>0</v>
      </c>
      <c r="G36" s="48" t="str">
        <f>IFERROR(MONTH(gantt_tr2[[#This Row],[End]]) &amp; "/" &amp; IF(DAY(gantt_tr2[[#This Row],[End]])&lt;10,"B",IF(DAY(gantt_tr2[[#This Row],[End]])&lt;20,"M","E")),"")</f>
        <v>1/B</v>
      </c>
      <c r="H36" s="27"/>
      <c r="I36" s="39"/>
      <c r="J36" s="30"/>
      <c r="K36" s="30"/>
      <c r="L36" s="32">
        <f>gantt_tr2[[#This Row],[Start]]+gantt_tr2[[#This Row],[Delay]]</f>
        <v>0</v>
      </c>
      <c r="M36" s="22" t="str">
        <f>IFERROR(IF(gantt_tr2[Duration]="","",IF(gantt_tr2[Start]="",N35,gantt_tr2[Start])),"")</f>
        <v/>
      </c>
      <c r="N36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36" s="34" t="str">
        <f>IFERROR(gantt_tr2[[#This Row],[Actual End]]-gantt_tr2[[#This Row],[Actual Start]],"")</f>
        <v/>
      </c>
      <c r="P36" s="10"/>
      <c r="Q36" s="10"/>
      <c r="R36" s="10"/>
      <c r="T36" s="10"/>
      <c r="U36" s="10"/>
      <c r="V36" s="10"/>
    </row>
    <row r="37" spans="3:22">
      <c r="C37" s="25"/>
      <c r="D37" s="28"/>
      <c r="E37" s="26"/>
      <c r="F37" s="49">
        <f>IFERROR(IF(gantt_tr2[[#This Row],[work on holiday]]="Y",gantt_tr2[[#This Row],[Start]]+gantt_tr2[[#This Row],[Duration]],WORKDAY(gantt_tr2[[#This Row],[Start]],gantt_tr2[[#This Row],[Duration]],holidays)),"")</f>
        <v>0</v>
      </c>
      <c r="G37" s="48" t="str">
        <f>IFERROR(MONTH(gantt_tr2[[#This Row],[End]]) &amp; "/" &amp; IF(DAY(gantt_tr2[[#This Row],[End]])&lt;10,"B",IF(DAY(gantt_tr2[[#This Row],[End]])&lt;20,"M","E")),"")</f>
        <v>1/B</v>
      </c>
      <c r="H37" s="27"/>
      <c r="I37" s="33"/>
      <c r="J37" s="30"/>
      <c r="K37" s="30"/>
      <c r="L37" s="32">
        <f>gantt_tr2[[#This Row],[Start]]+gantt_tr2[[#This Row],[Delay]]</f>
        <v>0</v>
      </c>
      <c r="M37" s="22" t="str">
        <f>IFERROR(IF(gantt_tr2[Duration]="","",IF(gantt_tr2[Start]="",N36,gantt_tr2[Start])),"")</f>
        <v/>
      </c>
      <c r="N37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37" s="34" t="str">
        <f>IFERROR(gantt_tr2[[#This Row],[Actual End]]-gantt_tr2[[#This Row],[Actual Start]],"")</f>
        <v/>
      </c>
      <c r="P37" s="10"/>
      <c r="Q37" s="10"/>
      <c r="R37" s="10"/>
      <c r="T37" s="10"/>
      <c r="U37" s="10"/>
      <c r="V37" s="10"/>
    </row>
    <row r="38" spans="3:22">
      <c r="C38" s="31"/>
      <c r="D38" s="31"/>
      <c r="E38" s="26"/>
      <c r="F38" s="49">
        <f>IFERROR(IF(gantt_tr2[[#This Row],[work on holiday]]="Y",gantt_tr2[[#This Row],[Start]]+gantt_tr2[[#This Row],[Duration]],WORKDAY(gantt_tr2[[#This Row],[Start]],gantt_tr2[[#This Row],[Duration]],holidays)),"")</f>
        <v>0</v>
      </c>
      <c r="G38" s="48" t="str">
        <f>IFERROR(MONTH(gantt_tr2[[#This Row],[End]]) &amp; "/" &amp; IF(DAY(gantt_tr2[[#This Row],[End]])&lt;10,"B",IF(DAY(gantt_tr2[[#This Row],[End]])&lt;20,"M","E")),"")</f>
        <v>1/B</v>
      </c>
      <c r="H38" s="35"/>
      <c r="I38" s="33"/>
      <c r="J38" s="30"/>
      <c r="K38" s="30"/>
      <c r="L38" s="32">
        <f>gantt_tr2[[#This Row],[Start]]+gantt_tr2[[#This Row],[Delay]]</f>
        <v>0</v>
      </c>
      <c r="M38" s="22" t="str">
        <f>IFERROR(IF(gantt_tr2[Duration]="","",IF(gantt_tr2[Start]="",N37,gantt_tr2[Start])),"")</f>
        <v/>
      </c>
      <c r="N38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38" s="34" t="str">
        <f>IFERROR(gantt_tr2[[#This Row],[Actual End]]-gantt_tr2[[#This Row],[Actual Start]],"")</f>
        <v/>
      </c>
      <c r="P38" s="10"/>
      <c r="Q38" s="10"/>
      <c r="R38" s="10"/>
      <c r="T38" s="10"/>
      <c r="U38" s="10"/>
      <c r="V38" s="10"/>
    </row>
    <row r="39" spans="3:22">
      <c r="C39" s="25"/>
      <c r="D39" s="25"/>
      <c r="E39" s="17"/>
      <c r="F39" s="48">
        <f>IFERROR(IF(gantt_tr2[[#This Row],[work on holiday]]="Y",gantt_tr2[[#This Row],[Start]]+gantt_tr2[[#This Row],[Duration]],WORKDAY(gantt_tr2[[#This Row],[Start]],gantt_tr2[[#This Row],[Duration]],holidays)),"")</f>
        <v>0</v>
      </c>
      <c r="G39" s="48" t="str">
        <f>IFERROR(MONTH(gantt_tr2[[#This Row],[End]]) &amp; "/" &amp; IF(DAY(gantt_tr2[[#This Row],[End]])&lt;10,"B",IF(DAY(gantt_tr2[[#This Row],[End]])&lt;20,"M","E")),"")</f>
        <v>1/B</v>
      </c>
      <c r="H39" s="35"/>
      <c r="I39" s="37"/>
      <c r="J39" s="30"/>
      <c r="K39" s="30"/>
      <c r="L39" s="32">
        <f>gantt_tr2[[#This Row],[Start]]+gantt_tr2[[#This Row],[Delay]]</f>
        <v>0</v>
      </c>
      <c r="M39" s="22" t="str">
        <f>IFERROR(IF(gantt_tr2[Duration]="","",IF(gantt_tr2[Start]="",N38,gantt_tr2[Start])),"")</f>
        <v/>
      </c>
      <c r="N39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39" s="34" t="str">
        <f>IFERROR(gantt_tr2[[#This Row],[Actual End]]-gantt_tr2[[#This Row],[Actual Start]],"")</f>
        <v/>
      </c>
      <c r="P39" s="10"/>
      <c r="Q39" s="10"/>
      <c r="R39" s="10"/>
      <c r="T39" s="10"/>
      <c r="U39" s="10"/>
      <c r="V39" s="10"/>
    </row>
    <row r="40" spans="3:22">
      <c r="C40" s="25"/>
      <c r="D40" s="25"/>
      <c r="E40" s="17"/>
      <c r="F40" s="48">
        <f>IFERROR(IF(gantt_tr2[[#This Row],[work on holiday]]="Y",gantt_tr2[[#This Row],[Start]]+gantt_tr2[[#This Row],[Duration]],WORKDAY(gantt_tr2[[#This Row],[Start]],gantt_tr2[[#This Row],[Duration]],holidays)),"")</f>
        <v>0</v>
      </c>
      <c r="G40" s="48" t="str">
        <f>IFERROR(MONTH(gantt_tr2[[#This Row],[End]]) &amp; "/" &amp; IF(DAY(gantt_tr2[[#This Row],[End]])&lt;10,"B",IF(DAY(gantt_tr2[[#This Row],[End]])&lt;20,"M","E")),"")</f>
        <v>1/B</v>
      </c>
      <c r="H40" s="35"/>
      <c r="I40" s="37"/>
      <c r="J40" s="30"/>
      <c r="K40" s="30"/>
      <c r="L40" s="32">
        <f>gantt_tr2[[#This Row],[Start]]+gantt_tr2[[#This Row],[Delay]]</f>
        <v>0</v>
      </c>
      <c r="M40" s="22" t="str">
        <f>IFERROR(IF(gantt_tr2[Duration]="","",IF(gantt_tr2[Start]="",N39,gantt_tr2[Start])),"")</f>
        <v/>
      </c>
      <c r="N40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40" s="34" t="str">
        <f>IFERROR(gantt_tr2[[#This Row],[Actual End]]-gantt_tr2[[#This Row],[Actual Start]],"")</f>
        <v/>
      </c>
      <c r="P40" s="10"/>
      <c r="Q40" s="10"/>
      <c r="R40" s="10"/>
      <c r="T40" s="10"/>
      <c r="U40" s="10"/>
      <c r="V40" s="10"/>
    </row>
    <row r="41" spans="3:22">
      <c r="C41" s="25"/>
      <c r="D41" s="25"/>
      <c r="E41" s="17"/>
      <c r="F41" s="48">
        <f>IFERROR(IF(gantt_tr2[[#This Row],[work on holiday]]="Y",gantt_tr2[[#This Row],[Start]]+gantt_tr2[[#This Row],[Duration]],WORKDAY(gantt_tr2[[#This Row],[Start]],gantt_tr2[[#This Row],[Duration]],holidays)),"")</f>
        <v>0</v>
      </c>
      <c r="G41" s="48" t="str">
        <f>IFERROR(MONTH(gantt_tr2[[#This Row],[End]]) &amp; "/" &amp; IF(DAY(gantt_tr2[[#This Row],[End]])&lt;10,"B",IF(DAY(gantt_tr2[[#This Row],[End]])&lt;20,"M","E")),"")</f>
        <v>1/B</v>
      </c>
      <c r="H41" s="35"/>
      <c r="I41" s="37"/>
      <c r="J41" s="30"/>
      <c r="K41" s="30"/>
      <c r="L41" s="32">
        <f>gantt_tr2[[#This Row],[Start]]+gantt_tr2[[#This Row],[Delay]]</f>
        <v>0</v>
      </c>
      <c r="M41" s="22" t="str">
        <f>IFERROR(IF(gantt_tr2[Duration]="","",IF(gantt_tr2[Start]="",N40,gantt_tr2[Start])),"")</f>
        <v/>
      </c>
      <c r="N41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41" s="34" t="str">
        <f>IFERROR(gantt_tr2[[#This Row],[Actual End]]-gantt_tr2[[#This Row],[Actual Start]],"")</f>
        <v/>
      </c>
      <c r="P41" s="10"/>
      <c r="Q41" s="10"/>
      <c r="R41" s="10"/>
      <c r="T41" s="10"/>
      <c r="U41" s="10"/>
      <c r="V41" s="10"/>
    </row>
    <row r="42" spans="3:22">
      <c r="C42" s="31"/>
      <c r="D42" s="25"/>
      <c r="E42" s="17"/>
      <c r="F42" s="48">
        <f>IFERROR(IF(gantt_tr2[[#This Row],[work on holiday]]="Y",gantt_tr2[[#This Row],[Start]]+gantt_tr2[[#This Row],[Duration]],WORKDAY(gantt_tr2[[#This Row],[Start]],gantt_tr2[[#This Row],[Duration]],holidays)),"")</f>
        <v>0</v>
      </c>
      <c r="G42" s="48" t="str">
        <f>IFERROR(MONTH(gantt_tr2[[#This Row],[End]]) &amp; "/" &amp; IF(DAY(gantt_tr2[[#This Row],[End]])&lt;10,"B",IF(DAY(gantt_tr2[[#This Row],[End]])&lt;20,"M","E")),"")</f>
        <v>1/B</v>
      </c>
      <c r="H42" s="35"/>
      <c r="I42" s="37"/>
      <c r="J42" s="30"/>
      <c r="K42" s="30"/>
      <c r="L42" s="32">
        <f>gantt_tr2[[#This Row],[Start]]+gantt_tr2[[#This Row],[Delay]]</f>
        <v>0</v>
      </c>
      <c r="M42" s="22" t="str">
        <f>IFERROR(IF(gantt_tr2[Duration]="","",IF(gantt_tr2[Start]="",N41,gantt_tr2[Start])),"")</f>
        <v/>
      </c>
      <c r="N42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42" s="34" t="str">
        <f>IFERROR(gantt_tr2[[#This Row],[Actual End]]-gantt_tr2[[#This Row],[Actual Start]],"")</f>
        <v/>
      </c>
      <c r="P42" s="10"/>
      <c r="Q42" s="10"/>
      <c r="R42" s="10"/>
      <c r="T42" s="10"/>
      <c r="U42" s="10"/>
      <c r="V42" s="10"/>
    </row>
    <row r="43" spans="3:22">
      <c r="C43" s="31"/>
      <c r="D43" s="25"/>
      <c r="E43" s="17"/>
      <c r="F43" s="48">
        <f>IFERROR(IF(gantt_tr2[[#This Row],[work on holiday]]="Y",gantt_tr2[[#This Row],[Start]]+gantt_tr2[[#This Row],[Duration]],WORKDAY(gantt_tr2[[#This Row],[Start]],gantt_tr2[[#This Row],[Duration]],holidays)),"")</f>
        <v>0</v>
      </c>
      <c r="G43" s="48" t="str">
        <f>IFERROR(MONTH(gantt_tr2[[#This Row],[End]]) &amp; "/" &amp; IF(DAY(gantt_tr2[[#This Row],[End]])&lt;10,"B",IF(DAY(gantt_tr2[[#This Row],[End]])&lt;20,"M","E")),"")</f>
        <v>1/B</v>
      </c>
      <c r="H43" s="35"/>
      <c r="I43" s="37"/>
      <c r="J43" s="30"/>
      <c r="K43" s="30"/>
      <c r="L43" s="32">
        <f>gantt_tr2[[#This Row],[Start]]+gantt_tr2[[#This Row],[Delay]]</f>
        <v>0</v>
      </c>
      <c r="M43" s="22" t="str">
        <f>IFERROR(IF(gantt_tr2[Duration]="","",IF(gantt_tr2[Start]="",N42,gantt_tr2[Start])),"")</f>
        <v/>
      </c>
      <c r="N43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43" s="34" t="str">
        <f>IFERROR(gantt_tr2[[#This Row],[Actual End]]-gantt_tr2[[#This Row],[Actual Start]],"")</f>
        <v/>
      </c>
      <c r="P43" s="10"/>
      <c r="Q43" s="10"/>
      <c r="R43" s="10"/>
      <c r="T43" s="10"/>
      <c r="U43" s="10"/>
      <c r="V43" s="10"/>
    </row>
    <row r="44" spans="3:22">
      <c r="C44" s="25"/>
      <c r="D44" s="25"/>
      <c r="E44" s="17"/>
      <c r="F44" s="48">
        <f>IFERROR(IF(gantt_tr2[[#This Row],[work on holiday]]="Y",gantt_tr2[[#This Row],[Start]]+gantt_tr2[[#This Row],[Duration]],WORKDAY(gantt_tr2[[#This Row],[Start]],gantt_tr2[[#This Row],[Duration]],holidays)),"")</f>
        <v>0</v>
      </c>
      <c r="G44" s="48" t="str">
        <f>IFERROR(MONTH(gantt_tr2[[#This Row],[End]]) &amp; "/" &amp; IF(DAY(gantt_tr2[[#This Row],[End]])&lt;10,"B",IF(DAY(gantt_tr2[[#This Row],[End]])&lt;20,"M","E")),"")</f>
        <v>1/B</v>
      </c>
      <c r="H44" s="35"/>
      <c r="I44" s="37"/>
      <c r="J44" s="30"/>
      <c r="K44" s="30"/>
      <c r="L44" s="32">
        <f>gantt_tr2[[#This Row],[Start]]+gantt_tr2[[#This Row],[Delay]]</f>
        <v>0</v>
      </c>
      <c r="M44" s="22" t="str">
        <f>IFERROR(IF(gantt_tr2[Duration]="","",IF(gantt_tr2[Start]="",N43,gantt_tr2[Start])),"")</f>
        <v/>
      </c>
      <c r="N44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44" s="34" t="str">
        <f>IFERROR(gantt_tr2[[#This Row],[Actual End]]-gantt_tr2[[#This Row],[Actual Start]],"")</f>
        <v/>
      </c>
      <c r="P44" s="10"/>
      <c r="Q44" s="10"/>
      <c r="R44" s="10"/>
      <c r="T44" s="10"/>
      <c r="U44" s="10"/>
      <c r="V44" s="10"/>
    </row>
    <row r="45" spans="3:22">
      <c r="C45" s="25"/>
      <c r="D45" s="25"/>
      <c r="E45" s="17"/>
      <c r="F45" s="48">
        <f>IFERROR(IF(gantt_tr2[[#This Row],[work on holiday]]="Y",gantt_tr2[[#This Row],[Start]]+gantt_tr2[[#This Row],[Duration]],WORKDAY(gantt_tr2[[#This Row],[Start]],gantt_tr2[[#This Row],[Duration]],holidays)),"")</f>
        <v>0</v>
      </c>
      <c r="G45" s="48" t="str">
        <f>IFERROR(MONTH(gantt_tr2[[#This Row],[End]]) &amp; "/" &amp; IF(DAY(gantt_tr2[[#This Row],[End]])&lt;10,"B",IF(DAY(gantt_tr2[[#This Row],[End]])&lt;20,"M","E")),"")</f>
        <v>1/B</v>
      </c>
      <c r="H45" s="35"/>
      <c r="I45" s="37"/>
      <c r="J45" s="30"/>
      <c r="K45" s="30"/>
      <c r="L45" s="32">
        <f>gantt_tr2[[#This Row],[Start]]+gantt_tr2[[#This Row],[Delay]]</f>
        <v>0</v>
      </c>
      <c r="M45" s="22" t="str">
        <f>IFERROR(IF(gantt_tr2[Duration]="","",IF(gantt_tr2[Start]="",N44,gantt_tr2[Start])),"")</f>
        <v/>
      </c>
      <c r="N45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45" s="34" t="str">
        <f>IFERROR(gantt_tr2[[#This Row],[Actual End]]-gantt_tr2[[#This Row],[Actual Start]],"")</f>
        <v/>
      </c>
      <c r="P45" s="10"/>
      <c r="Q45" s="10"/>
      <c r="R45" s="10"/>
      <c r="T45" s="10"/>
      <c r="U45" s="10"/>
      <c r="V45" s="10"/>
    </row>
    <row r="46" spans="3:22">
      <c r="C46" s="25"/>
      <c r="D46" s="25"/>
      <c r="E46" s="17"/>
      <c r="F46" s="48">
        <f>IFERROR(IF(gantt_tr2[[#This Row],[work on holiday]]="Y",gantt_tr2[[#This Row],[Start]]+gantt_tr2[[#This Row],[Duration]],WORKDAY(gantt_tr2[[#This Row],[Start]],gantt_tr2[[#This Row],[Duration]],holidays)),"")</f>
        <v>0</v>
      </c>
      <c r="G46" s="48" t="str">
        <f>IFERROR(MONTH(gantt_tr2[[#This Row],[End]]) &amp; "/" &amp; IF(DAY(gantt_tr2[[#This Row],[End]])&lt;10,"B",IF(DAY(gantt_tr2[[#This Row],[End]])&lt;20,"M","E")),"")</f>
        <v>1/B</v>
      </c>
      <c r="H46" s="35"/>
      <c r="I46" s="37"/>
      <c r="J46" s="30"/>
      <c r="K46" s="30"/>
      <c r="L46" s="32">
        <f>gantt_tr2[[#This Row],[Start]]+gantt_tr2[[#This Row],[Delay]]</f>
        <v>0</v>
      </c>
      <c r="M46" s="22" t="str">
        <f>IFERROR(IF(gantt_tr2[Duration]="","",IF(gantt_tr2[Start]="",N45,gantt_tr2[Start])),"")</f>
        <v/>
      </c>
      <c r="N46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46" s="34" t="str">
        <f>IFERROR(gantt_tr2[[#This Row],[Actual End]]-gantt_tr2[[#This Row],[Actual Start]],"")</f>
        <v/>
      </c>
      <c r="P46" s="10"/>
      <c r="Q46" s="10"/>
      <c r="R46" s="10"/>
      <c r="T46" s="10"/>
      <c r="U46" s="10"/>
      <c r="V46" s="10"/>
    </row>
    <row r="47" spans="3:22">
      <c r="C47" s="25"/>
      <c r="D47" s="25"/>
      <c r="E47" s="17"/>
      <c r="F47" s="48">
        <f>IFERROR(IF(gantt_tr2[[#This Row],[work on holiday]]="Y",gantt_tr2[[#This Row],[Start]]+gantt_tr2[[#This Row],[Duration]],WORKDAY(gantt_tr2[[#This Row],[Start]],gantt_tr2[[#This Row],[Duration]],holidays)),"")</f>
        <v>0</v>
      </c>
      <c r="G47" s="48" t="str">
        <f>IFERROR(MONTH(gantt_tr2[[#This Row],[End]]) &amp; "/" &amp; IF(DAY(gantt_tr2[[#This Row],[End]])&lt;10,"B",IF(DAY(gantt_tr2[[#This Row],[End]])&lt;20,"M","E")),"")</f>
        <v>1/B</v>
      </c>
      <c r="H47" s="35"/>
      <c r="I47" s="37"/>
      <c r="J47" s="30"/>
      <c r="K47" s="30"/>
      <c r="L47" s="32">
        <f>gantt_tr2[[#This Row],[Start]]+gantt_tr2[[#This Row],[Delay]]</f>
        <v>0</v>
      </c>
      <c r="M47" s="22" t="str">
        <f>IFERROR(IF(gantt_tr2[Duration]="","",IF(gantt_tr2[Start]="",N46,gantt_tr2[Start])),"")</f>
        <v/>
      </c>
      <c r="N47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47" s="34" t="str">
        <f>IFERROR(gantt_tr2[[#This Row],[Actual End]]-gantt_tr2[[#This Row],[Actual Start]],"")</f>
        <v/>
      </c>
      <c r="P47" s="10"/>
      <c r="Q47" s="10"/>
      <c r="R47" s="10"/>
      <c r="T47" s="10"/>
      <c r="U47" s="10"/>
      <c r="V47" s="10"/>
    </row>
    <row r="48" spans="3:22">
      <c r="C48" s="25"/>
      <c r="D48" s="25"/>
      <c r="E48" s="17"/>
      <c r="F48" s="48">
        <f>IFERROR(IF(gantt_tr2[[#This Row],[work on holiday]]="Y",gantt_tr2[[#This Row],[Start]]+gantt_tr2[[#This Row],[Duration]],WORKDAY(gantt_tr2[[#This Row],[Start]],gantt_tr2[[#This Row],[Duration]],holidays)),"")</f>
        <v>0</v>
      </c>
      <c r="G48" s="48" t="str">
        <f>IFERROR(MONTH(gantt_tr2[[#This Row],[End]]) &amp; "/" &amp; IF(DAY(gantt_tr2[[#This Row],[End]])&lt;10,"B",IF(DAY(gantt_tr2[[#This Row],[End]])&lt;20,"M","E")),"")</f>
        <v>1/B</v>
      </c>
      <c r="H48" s="35"/>
      <c r="I48" s="37"/>
      <c r="J48" s="30"/>
      <c r="K48" s="30"/>
      <c r="L48" s="32">
        <f>gantt_tr2[[#This Row],[Start]]+gantt_tr2[[#This Row],[Delay]]</f>
        <v>0</v>
      </c>
      <c r="M48" s="22" t="str">
        <f>IFERROR(IF(gantt_tr2[Duration]="","",IF(gantt_tr2[Start]="",N47,gantt_tr2[Start])),"")</f>
        <v/>
      </c>
      <c r="N48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48" s="34" t="str">
        <f>IFERROR(gantt_tr2[[#This Row],[Actual End]]-gantt_tr2[[#This Row],[Actual Start]],"")</f>
        <v/>
      </c>
      <c r="P48" s="10"/>
      <c r="Q48" s="10"/>
      <c r="R48" s="10"/>
      <c r="T48" s="10"/>
      <c r="U48" s="10"/>
      <c r="V48" s="10"/>
    </row>
    <row r="49" spans="3:22">
      <c r="C49" s="31"/>
      <c r="D49" s="38"/>
      <c r="E49" s="17"/>
      <c r="F49" s="48">
        <f>IFERROR(IF(gantt_tr2[[#This Row],[work on holiday]]="Y",gantt_tr2[[#This Row],[Start]]+gantt_tr2[[#This Row],[Duration]],WORKDAY(gantt_tr2[[#This Row],[Start]],gantt_tr2[[#This Row],[Duration]],holidays)),"")</f>
        <v>0</v>
      </c>
      <c r="G49" s="48" t="str">
        <f>IFERROR(MONTH(gantt_tr2[[#This Row],[End]]) &amp; "/" &amp; IF(DAY(gantt_tr2[[#This Row],[End]])&lt;10,"B",IF(DAY(gantt_tr2[[#This Row],[End]])&lt;20,"M","E")),"")</f>
        <v>1/B</v>
      </c>
      <c r="H49" s="35"/>
      <c r="I49" s="37"/>
      <c r="J49" s="30"/>
      <c r="K49" s="30"/>
      <c r="L49" s="32">
        <f>gantt_tr2[[#This Row],[Start]]+gantt_tr2[[#This Row],[Delay]]</f>
        <v>0</v>
      </c>
      <c r="M49" s="22" t="str">
        <f>IFERROR(IF(gantt_tr2[Duration]="","",IF(gantt_tr2[Start]="",N48,gantt_tr2[Start])),"")</f>
        <v/>
      </c>
      <c r="N49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49" s="34" t="str">
        <f>IFERROR(gantt_tr2[[#This Row],[Actual End]]-gantt_tr2[[#This Row],[Actual Start]],"")</f>
        <v/>
      </c>
      <c r="P49" s="10"/>
      <c r="Q49" s="10"/>
      <c r="R49" s="10"/>
      <c r="T49" s="10"/>
      <c r="U49" s="10"/>
      <c r="V49" s="10"/>
    </row>
    <row r="50" spans="3:22">
      <c r="C50" s="31"/>
      <c r="D50" s="31"/>
      <c r="E50" s="17"/>
      <c r="F50" s="48">
        <f>IFERROR(IF(gantt_tr2[[#This Row],[work on holiday]]="Y",gantt_tr2[[#This Row],[Start]]+gantt_tr2[[#This Row],[Duration]],WORKDAY(gantt_tr2[[#This Row],[Start]],gantt_tr2[[#This Row],[Duration]],holidays)),"")</f>
        <v>0</v>
      </c>
      <c r="G50" s="48" t="str">
        <f>IFERROR(MONTH(gantt_tr2[[#This Row],[End]]) &amp; "/" &amp; IF(DAY(gantt_tr2[[#This Row],[End]])&lt;10,"B",IF(DAY(gantt_tr2[[#This Row],[End]])&lt;20,"M","E")),"")</f>
        <v>1/B</v>
      </c>
      <c r="H50" s="35"/>
      <c r="I50" s="37"/>
      <c r="J50" s="30"/>
      <c r="K50" s="30"/>
      <c r="L50" s="32">
        <f>gantt_tr2[[#This Row],[Start]]+gantt_tr2[[#This Row],[Delay]]</f>
        <v>0</v>
      </c>
      <c r="M50" s="22" t="str">
        <f>IFERROR(IF(gantt_tr2[Duration]="","",IF(gantt_tr2[Start]="",N49,gantt_tr2[Start])),"")</f>
        <v/>
      </c>
      <c r="N50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50" s="34" t="str">
        <f>IFERROR(gantt_tr2[[#This Row],[Actual End]]-gantt_tr2[[#This Row],[Actual Start]],"")</f>
        <v/>
      </c>
      <c r="P50" s="10"/>
      <c r="Q50" s="10"/>
      <c r="R50" s="10"/>
      <c r="T50" s="10"/>
      <c r="U50" s="10"/>
      <c r="V50" s="10"/>
    </row>
    <row r="51" spans="3:22">
      <c r="C51" s="25"/>
      <c r="D51" s="31"/>
      <c r="E51" s="26"/>
      <c r="F51" s="49">
        <f>IFERROR(IF(gantt_tr2[[#This Row],[work on holiday]]="Y",gantt_tr2[[#This Row],[Start]]+gantt_tr2[[#This Row],[Duration]],WORKDAY(gantt_tr2[[#This Row],[Start]],gantt_tr2[[#This Row],[Duration]],holidays)),"")</f>
        <v>0</v>
      </c>
      <c r="G51" s="48" t="str">
        <f>IFERROR(MONTH(gantt_tr2[[#This Row],[End]]) &amp; "/" &amp; IF(DAY(gantt_tr2[[#This Row],[End]])&lt;10,"B",IF(DAY(gantt_tr2[[#This Row],[End]])&lt;20,"M","E")),"")</f>
        <v>1/B</v>
      </c>
      <c r="H51" s="35"/>
      <c r="I51" s="19"/>
      <c r="J51" s="30"/>
      <c r="K51" s="30"/>
      <c r="L51" s="21">
        <f>gantt_tr2[[#This Row],[Start]]+gantt_tr2[[#This Row],[Delay]]</f>
        <v>0</v>
      </c>
      <c r="M51" s="22" t="str">
        <f>IFERROR(IF(gantt_tr2[Duration]="","",IF(gantt_tr2[Start]="",N50,gantt_tr2[Start])),"")</f>
        <v/>
      </c>
      <c r="N51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51" s="34" t="str">
        <f>IFERROR(gantt_tr2[[#This Row],[Actual End]]-gantt_tr2[[#This Row],[Actual Start]],"")</f>
        <v/>
      </c>
      <c r="P51" s="10"/>
      <c r="Q51" s="10"/>
      <c r="R51" s="10"/>
      <c r="T51" s="10"/>
      <c r="U51" s="10"/>
      <c r="V51" s="10"/>
    </row>
    <row r="52" spans="3:22">
      <c r="C52" s="25"/>
      <c r="D52" s="31"/>
      <c r="E52" s="26"/>
      <c r="F52" s="49">
        <f>IFERROR(IF(gantt_tr2[[#This Row],[work on holiday]]="Y",gantt_tr2[[#This Row],[Start]]+gantt_tr2[[#This Row],[Duration]],WORKDAY(gantt_tr2[[#This Row],[Start]],gantt_tr2[[#This Row],[Duration]],holidays)),"")</f>
        <v>0</v>
      </c>
      <c r="G52" s="48" t="str">
        <f>IFERROR(MONTH(gantt_tr2[[#This Row],[End]]) &amp; "/" &amp; IF(DAY(gantt_tr2[[#This Row],[End]])&lt;10,"B",IF(DAY(gantt_tr2[[#This Row],[End]])&lt;20,"M","E")),"")</f>
        <v>1/B</v>
      </c>
      <c r="H52" s="27"/>
      <c r="I52" s="19"/>
      <c r="J52" s="30"/>
      <c r="K52" s="30"/>
      <c r="L52" s="21">
        <f>gantt_tr2[[#This Row],[Start]]+gantt_tr2[[#This Row],[Delay]]</f>
        <v>0</v>
      </c>
      <c r="M52" s="22" t="str">
        <f>IFERROR(IF(gantt_tr2[Duration]="","",IF(gantt_tr2[Start]="",N51,gantt_tr2[Start])),"")</f>
        <v/>
      </c>
      <c r="N52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52" s="34" t="str">
        <f>IFERROR(gantt_tr2[[#This Row],[Actual End]]-gantt_tr2[[#This Row],[Actual Start]],"")</f>
        <v/>
      </c>
      <c r="P52" s="10"/>
      <c r="Q52" s="10"/>
      <c r="R52" s="10"/>
      <c r="T52" s="10"/>
      <c r="U52" s="10"/>
      <c r="V52" s="10"/>
    </row>
    <row r="53" spans="3:22">
      <c r="C53" s="31"/>
      <c r="D53" s="25"/>
      <c r="E53" s="26"/>
      <c r="F53" s="49">
        <f>IFERROR(IF(gantt_tr2[[#This Row],[work on holiday]]="Y",gantt_tr2[[#This Row],[Start]]+gantt_tr2[[#This Row],[Duration]],WORKDAY(gantt_tr2[[#This Row],[Start]],gantt_tr2[[#This Row],[Duration]],holidays)),"")</f>
        <v>0</v>
      </c>
      <c r="G53" s="48" t="str">
        <f>IFERROR(MONTH(gantt_tr2[[#This Row],[End]]) &amp; "/" &amp; IF(DAY(gantt_tr2[[#This Row],[End]])&lt;10,"B",IF(DAY(gantt_tr2[[#This Row],[End]])&lt;20,"M","E")),"")</f>
        <v>1/B</v>
      </c>
      <c r="H53" s="27"/>
      <c r="I53" s="37"/>
      <c r="J53" s="30"/>
      <c r="K53" s="30"/>
      <c r="L53" s="32">
        <f>gantt_tr2[[#This Row],[Start]]+gantt_tr2[[#This Row],[Delay]]</f>
        <v>0</v>
      </c>
      <c r="M53" s="22" t="str">
        <f>IFERROR(IF(gantt_tr2[Duration]="","",IF(gantt_tr2[Start]="",N52,gantt_tr2[Start])),"")</f>
        <v/>
      </c>
      <c r="N53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53" s="34" t="str">
        <f>IFERROR(gantt_tr2[[#This Row],[Actual End]]-gantt_tr2[[#This Row],[Actual Start]],"")</f>
        <v/>
      </c>
      <c r="P53" s="10"/>
      <c r="Q53" s="10"/>
      <c r="R53" s="10"/>
      <c r="T53" s="10"/>
      <c r="U53" s="10"/>
      <c r="V53" s="10"/>
    </row>
    <row r="54" spans="3:22">
      <c r="C54" s="31"/>
      <c r="D54" s="31"/>
      <c r="E54" s="26"/>
      <c r="F54" s="49">
        <f>IFERROR(IF(gantt_tr2[[#This Row],[work on holiday]]="Y",gantt_tr2[[#This Row],[Start]]+gantt_tr2[[#This Row],[Duration]],WORKDAY(gantt_tr2[[#This Row],[Start]],gantt_tr2[[#This Row],[Duration]],holidays)),"")</f>
        <v>0</v>
      </c>
      <c r="G54" s="48" t="str">
        <f>IFERROR(MONTH(gantt_tr2[[#This Row],[End]]) &amp; "/" &amp; IF(DAY(gantt_tr2[[#This Row],[End]])&lt;10,"B",IF(DAY(gantt_tr2[[#This Row],[End]])&lt;20,"M","E")),"")</f>
        <v>1/B</v>
      </c>
      <c r="H54" s="27"/>
      <c r="I54" s="37"/>
      <c r="J54" s="30"/>
      <c r="K54" s="30"/>
      <c r="L54" s="32">
        <f>gantt_tr2[[#This Row],[Start]]+gantt_tr2[[#This Row],[Delay]]</f>
        <v>0</v>
      </c>
      <c r="M54" s="22" t="str">
        <f>IFERROR(IF(gantt_tr2[Duration]="","",IF(gantt_tr2[Start]="",N53,gantt_tr2[Start])),"")</f>
        <v/>
      </c>
      <c r="N54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54" s="34" t="str">
        <f>IFERROR(gantt_tr2[[#This Row],[Actual End]]-gantt_tr2[[#This Row],[Actual Start]],"")</f>
        <v/>
      </c>
      <c r="P54" s="10"/>
      <c r="Q54" s="10"/>
      <c r="R54" s="10"/>
      <c r="T54" s="10"/>
      <c r="U54" s="10"/>
      <c r="V54" s="10"/>
    </row>
    <row r="55" spans="3:22">
      <c r="C55" s="25"/>
      <c r="D55" s="40"/>
      <c r="E55" s="26"/>
      <c r="F55" s="49">
        <f>IFERROR(IF(gantt_tr2[[#This Row],[work on holiday]]="Y",gantt_tr2[[#This Row],[Start]]+gantt_tr2[[#This Row],[Duration]],WORKDAY(gantt_tr2[[#This Row],[Start]],gantt_tr2[[#This Row],[Duration]],holidays)),"")</f>
        <v>0</v>
      </c>
      <c r="G55" s="48" t="str">
        <f>IFERROR(MONTH(gantt_tr2[[#This Row],[End]]) &amp; "/" &amp; IF(DAY(gantt_tr2[[#This Row],[End]])&lt;10,"B",IF(DAY(gantt_tr2[[#This Row],[End]])&lt;20,"M","E")),"")</f>
        <v>1/B</v>
      </c>
      <c r="H55" s="27"/>
      <c r="I55" s="19"/>
      <c r="J55" s="30"/>
      <c r="K55" s="30"/>
      <c r="L55" s="21">
        <f>gantt_tr2[[#This Row],[Start]]+gantt_tr2[[#This Row],[Delay]]</f>
        <v>0</v>
      </c>
      <c r="M55" s="22" t="str">
        <f>IFERROR(IF(gantt_tr2[Duration]="","",IF(gantt_tr2[Start]="",N54,gantt_tr2[Start])),"")</f>
        <v/>
      </c>
      <c r="N55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55" s="34" t="str">
        <f>IFERROR(gantt_tr2[[#This Row],[Actual End]]-gantt_tr2[[#This Row],[Actual Start]],"")</f>
        <v/>
      </c>
      <c r="P55" s="10"/>
      <c r="Q55" s="10"/>
      <c r="R55" s="10"/>
      <c r="T55" s="10"/>
      <c r="U55" s="10"/>
      <c r="V55" s="10"/>
    </row>
    <row r="56" spans="3:22">
      <c r="C56" s="25"/>
      <c r="D56" s="31"/>
      <c r="E56" s="26"/>
      <c r="F56" s="49">
        <f>IFERROR(IF(gantt_tr2[[#This Row],[work on holiday]]="Y",gantt_tr2[[#This Row],[Start]]+gantt_tr2[[#This Row],[Duration]],WORKDAY(gantt_tr2[[#This Row],[Start]],gantt_tr2[[#This Row],[Duration]],holidays)),"")</f>
        <v>0</v>
      </c>
      <c r="G56" s="48" t="str">
        <f>IFERROR(MONTH(gantt_tr2[[#This Row],[End]]) &amp; "/" &amp; IF(DAY(gantt_tr2[[#This Row],[End]])&lt;10,"B",IF(DAY(gantt_tr2[[#This Row],[End]])&lt;20,"M","E")),"")</f>
        <v>1/B</v>
      </c>
      <c r="H56" s="27"/>
      <c r="I56" s="19"/>
      <c r="J56" s="30"/>
      <c r="K56" s="30"/>
      <c r="L56" s="21">
        <f>gantt_tr2[[#This Row],[Start]]+gantt_tr2[[#This Row],[Delay]]</f>
        <v>0</v>
      </c>
      <c r="M56" s="22" t="str">
        <f>IFERROR(IF(gantt_tr2[Duration]="","",IF(gantt_tr2[Start]="",N55,gantt_tr2[Start])),"")</f>
        <v/>
      </c>
      <c r="N56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56" s="34" t="str">
        <f>IFERROR(gantt_tr2[[#This Row],[Actual End]]-gantt_tr2[[#This Row],[Actual Start]],"")</f>
        <v/>
      </c>
      <c r="P56" s="10"/>
      <c r="Q56" s="10"/>
      <c r="R56" s="10"/>
      <c r="T56" s="10"/>
      <c r="U56" s="10"/>
      <c r="V56" s="10"/>
    </row>
    <row r="57" spans="3:22">
      <c r="C57" s="25"/>
      <c r="D57" s="31"/>
      <c r="E57" s="26"/>
      <c r="F57" s="49">
        <f>IFERROR(IF(gantt_tr2[[#This Row],[work on holiday]]="Y",gantt_tr2[[#This Row],[Start]]+gantt_tr2[[#This Row],[Duration]],WORKDAY(gantt_tr2[[#This Row],[Start]],gantt_tr2[[#This Row],[Duration]],holidays)),"")</f>
        <v>0</v>
      </c>
      <c r="G57" s="48" t="str">
        <f>IFERROR(MONTH(gantt_tr2[[#This Row],[End]]) &amp; "/" &amp; IF(DAY(gantt_tr2[[#This Row],[End]])&lt;10,"B",IF(DAY(gantt_tr2[[#This Row],[End]])&lt;20,"M","E")),"")</f>
        <v>1/B</v>
      </c>
      <c r="H57" s="27"/>
      <c r="I57" s="19"/>
      <c r="J57" s="30"/>
      <c r="K57" s="30"/>
      <c r="L57" s="21">
        <f>gantt_tr2[[#This Row],[Start]]+gantt_tr2[[#This Row],[Delay]]</f>
        <v>0</v>
      </c>
      <c r="M57" s="22" t="str">
        <f>IFERROR(IF(gantt_tr2[Duration]="","",IF(gantt_tr2[Start]="",N56,gantt_tr2[Start])),"")</f>
        <v/>
      </c>
      <c r="N57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57" s="34" t="str">
        <f>IFERROR(gantt_tr2[[#This Row],[Actual End]]-gantt_tr2[[#This Row],[Actual Start]],"")</f>
        <v/>
      </c>
      <c r="P57" s="10"/>
      <c r="Q57" s="10"/>
      <c r="R57" s="10"/>
      <c r="T57" s="10"/>
      <c r="U57" s="10"/>
      <c r="V57" s="10"/>
    </row>
    <row r="58" spans="3:22">
      <c r="C58" s="25"/>
      <c r="D58" s="31"/>
      <c r="E58" s="26"/>
      <c r="F58" s="49">
        <f>IFERROR(IF(gantt_tr2[[#This Row],[work on holiday]]="Y",gantt_tr2[[#This Row],[Start]]+gantt_tr2[[#This Row],[Duration]],WORKDAY(gantt_tr2[[#This Row],[Start]],gantt_tr2[[#This Row],[Duration]],holidays)),"")</f>
        <v>0</v>
      </c>
      <c r="G58" s="48" t="str">
        <f>IFERROR(MONTH(gantt_tr2[[#This Row],[End]]) &amp; "/" &amp; IF(DAY(gantt_tr2[[#This Row],[End]])&lt;10,"B",IF(DAY(gantt_tr2[[#This Row],[End]])&lt;20,"M","E")),"")</f>
        <v>1/B</v>
      </c>
      <c r="H58" s="27"/>
      <c r="I58" s="19"/>
      <c r="J58" s="30"/>
      <c r="K58" s="30"/>
      <c r="L58" s="21">
        <f>gantt_tr2[[#This Row],[Start]]+gantt_tr2[[#This Row],[Delay]]</f>
        <v>0</v>
      </c>
      <c r="M58" s="22" t="str">
        <f>IFERROR(IF(gantt_tr2[Duration]="","",IF(gantt_tr2[Start]="",N57,gantt_tr2[Start])),"")</f>
        <v/>
      </c>
      <c r="N58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58" s="34" t="str">
        <f>IFERROR(gantt_tr2[[#This Row],[Actual End]]-gantt_tr2[[#This Row],[Actual Start]],"")</f>
        <v/>
      </c>
      <c r="P58" s="10"/>
      <c r="Q58" s="10"/>
      <c r="R58" s="10"/>
      <c r="T58" s="10"/>
      <c r="U58" s="10"/>
      <c r="V58" s="10"/>
    </row>
    <row r="59" spans="3:22">
      <c r="C59" s="25"/>
      <c r="D59" s="31"/>
      <c r="E59" s="26"/>
      <c r="F59" s="49">
        <f>IFERROR(IF(gantt_tr2[[#This Row],[work on holiday]]="Y",gantt_tr2[[#This Row],[Start]]+gantt_tr2[[#This Row],[Duration]],WORKDAY(gantt_tr2[[#This Row],[Start]],gantt_tr2[[#This Row],[Duration]],holidays)),"")</f>
        <v>0</v>
      </c>
      <c r="G59" s="48" t="str">
        <f>IFERROR(MONTH(gantt_tr2[[#This Row],[End]]) &amp; "/" &amp; IF(DAY(gantt_tr2[[#This Row],[End]])&lt;10,"B",IF(DAY(gantt_tr2[[#This Row],[End]])&lt;20,"M","E")),"")</f>
        <v>1/B</v>
      </c>
      <c r="H59" s="27"/>
      <c r="I59" s="19"/>
      <c r="J59" s="30"/>
      <c r="K59" s="30"/>
      <c r="L59" s="21">
        <f>gantt_tr2[[#This Row],[Start]]+gantt_tr2[[#This Row],[Delay]]</f>
        <v>0</v>
      </c>
      <c r="M59" s="22" t="str">
        <f>IFERROR(IF(gantt_tr2[Duration]="","",IF(gantt_tr2[Start]="",N58,gantt_tr2[Start])),"")</f>
        <v/>
      </c>
      <c r="N59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59" s="34" t="str">
        <f>IFERROR(gantt_tr2[[#This Row],[Actual End]]-gantt_tr2[[#This Row],[Actual Start]],"")</f>
        <v/>
      </c>
      <c r="P59" s="10"/>
      <c r="Q59" s="10"/>
      <c r="R59" s="10"/>
      <c r="T59" s="10"/>
      <c r="U59" s="10"/>
      <c r="V59" s="10"/>
    </row>
    <row r="60" spans="3:22">
      <c r="C60" s="31"/>
      <c r="D60" s="31"/>
      <c r="E60" s="36"/>
      <c r="F60" s="50">
        <f>IFERROR(IF(gantt_tr2[[#This Row],[work on holiday]]="Y",gantt_tr2[[#This Row],[Start]]+gantt_tr2[[#This Row],[Duration]],WORKDAY(gantt_tr2[[#This Row],[Start]],gantt_tr2[[#This Row],[Duration]],holidays)),"")</f>
        <v>0</v>
      </c>
      <c r="G60" s="48" t="str">
        <f>IFERROR(MONTH(gantt_tr2[[#This Row],[End]]) &amp; "/" &amp; IF(DAY(gantt_tr2[[#This Row],[End]])&lt;10,"B",IF(DAY(gantt_tr2[[#This Row],[End]])&lt;20,"M","E")),"")</f>
        <v>1/B</v>
      </c>
      <c r="H60" s="35"/>
      <c r="I60" s="19"/>
      <c r="J60" s="30"/>
      <c r="K60" s="30"/>
      <c r="L60" s="21">
        <f>gantt_tr2[[#This Row],[Start]]+gantt_tr2[[#This Row],[Delay]]</f>
        <v>0</v>
      </c>
      <c r="M60" s="22" t="str">
        <f>IFERROR(IF(gantt_tr2[Duration]="","",IF(gantt_tr2[Start]="",N59,gantt_tr2[Start])),"")</f>
        <v/>
      </c>
      <c r="N60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60" s="34" t="str">
        <f>IFERROR(gantt_tr2[[#This Row],[Actual End]]-gantt_tr2[[#This Row],[Actual Start]],"")</f>
        <v/>
      </c>
      <c r="P60" s="10"/>
      <c r="Q60" s="10"/>
      <c r="R60" s="10"/>
      <c r="T60" s="10"/>
      <c r="U60" s="10"/>
      <c r="V60" s="10"/>
    </row>
    <row r="61" spans="3:22">
      <c r="C61" s="25"/>
      <c r="D61" s="25"/>
      <c r="E61" s="36"/>
      <c r="F61" s="50">
        <f>IFERROR(IF(gantt_tr2[[#This Row],[work on holiday]]="Y",gantt_tr2[[#This Row],[Start]]+gantt_tr2[[#This Row],[Duration]],WORKDAY(gantt_tr2[[#This Row],[Start]],gantt_tr2[[#This Row],[Duration]],holidays)),"")</f>
        <v>0</v>
      </c>
      <c r="G61" s="48" t="str">
        <f>IFERROR(MONTH(gantt_tr2[[#This Row],[End]]) &amp; "/" &amp; IF(DAY(gantt_tr2[[#This Row],[End]])&lt;10,"B",IF(DAY(gantt_tr2[[#This Row],[End]])&lt;20,"M","E")),"")</f>
        <v>1/B</v>
      </c>
      <c r="H61" s="35"/>
      <c r="I61" s="19"/>
      <c r="J61" s="30"/>
      <c r="K61" s="30"/>
      <c r="L61" s="21">
        <f>gantt_tr2[[#This Row],[Start]]+gantt_tr2[[#This Row],[Delay]]</f>
        <v>0</v>
      </c>
      <c r="M61" s="22" t="str">
        <f>IFERROR(IF(gantt_tr2[Duration]="","",IF(gantt_tr2[Start]="",N60,gantt_tr2[Start])),"")</f>
        <v/>
      </c>
      <c r="N61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61" s="34" t="str">
        <f>IFERROR(gantt_tr2[[#This Row],[Actual End]]-gantt_tr2[[#This Row],[Actual Start]],"")</f>
        <v/>
      </c>
      <c r="P61" s="10"/>
      <c r="Q61" s="10"/>
      <c r="R61" s="10"/>
      <c r="T61" s="10"/>
      <c r="U61" s="10"/>
      <c r="V61" s="10"/>
    </row>
    <row r="62" spans="3:22">
      <c r="C62" s="31"/>
      <c r="D62" s="31"/>
      <c r="E62" s="36"/>
      <c r="F62" s="50">
        <f>IFERROR(IF(gantt_tr2[[#This Row],[work on holiday]]="Y",gantt_tr2[[#This Row],[Start]]+gantt_tr2[[#This Row],[Duration]],WORKDAY(gantt_tr2[[#This Row],[Start]],gantt_tr2[[#This Row],[Duration]],holidays)),"")</f>
        <v>0</v>
      </c>
      <c r="G62" s="48" t="str">
        <f>IFERROR(MONTH(gantt_tr2[[#This Row],[End]]) &amp; "/" &amp; IF(DAY(gantt_tr2[[#This Row],[End]])&lt;10,"B",IF(DAY(gantt_tr2[[#This Row],[End]])&lt;20,"M","E")),"")</f>
        <v>1/B</v>
      </c>
      <c r="H62" s="35"/>
      <c r="I62" s="19"/>
      <c r="J62" s="30"/>
      <c r="K62" s="30"/>
      <c r="L62" s="21">
        <f>gantt_tr2[[#This Row],[Start]]+gantt_tr2[[#This Row],[Delay]]</f>
        <v>0</v>
      </c>
      <c r="M62" s="22" t="str">
        <f>IFERROR(IF(gantt_tr2[Duration]="","",IF(gantt_tr2[Start]="",N61,gantt_tr2[Start])),"")</f>
        <v/>
      </c>
      <c r="N62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62" s="34" t="str">
        <f>IFERROR(gantt_tr2[[#This Row],[Actual End]]-gantt_tr2[[#This Row],[Actual Start]],"")</f>
        <v/>
      </c>
      <c r="P62" s="10"/>
      <c r="Q62" s="10"/>
      <c r="R62" s="10"/>
      <c r="T62" s="10"/>
      <c r="U62" s="10"/>
      <c r="V62" s="10"/>
    </row>
    <row r="63" spans="3:22">
      <c r="C63" s="31"/>
      <c r="D63" s="31"/>
      <c r="E63" s="36"/>
      <c r="F63" s="50">
        <f>IFERROR(IF(gantt_tr2[[#This Row],[work on holiday]]="Y",gantt_tr2[[#This Row],[Start]]+gantt_tr2[[#This Row],[Duration]],WORKDAY(gantt_tr2[[#This Row],[Start]],gantt_tr2[[#This Row],[Duration]],holidays)),"")</f>
        <v>0</v>
      </c>
      <c r="G63" s="48" t="str">
        <f>IFERROR(MONTH(gantt_tr2[[#This Row],[End]]) &amp; "/" &amp; IF(DAY(gantt_tr2[[#This Row],[End]])&lt;10,"B",IF(DAY(gantt_tr2[[#This Row],[End]])&lt;20,"M","E")),"")</f>
        <v>1/B</v>
      </c>
      <c r="H63" s="35"/>
      <c r="I63" s="19"/>
      <c r="J63" s="30"/>
      <c r="K63" s="30"/>
      <c r="L63" s="21">
        <f>gantt_tr2[[#This Row],[Start]]+gantt_tr2[[#This Row],[Delay]]</f>
        <v>0</v>
      </c>
      <c r="M63" s="22" t="str">
        <f>IFERROR(IF(gantt_tr2[Duration]="","",IF(gantt_tr2[Start]="",N62,gantt_tr2[Start])),"")</f>
        <v/>
      </c>
      <c r="N63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63" s="34" t="str">
        <f>IFERROR(gantt_tr2[[#This Row],[Actual End]]-gantt_tr2[[#This Row],[Actual Start]],"")</f>
        <v/>
      </c>
      <c r="P63" s="10"/>
      <c r="Q63" s="10"/>
      <c r="R63" s="10"/>
      <c r="T63" s="10"/>
      <c r="U63" s="10"/>
      <c r="V63" s="10"/>
    </row>
    <row r="64" spans="3:22">
      <c r="C64" s="31"/>
      <c r="D64" s="31"/>
      <c r="E64" s="36"/>
      <c r="F64" s="50">
        <f>IFERROR(IF(gantt_tr2[[#This Row],[work on holiday]]="Y",gantt_tr2[[#This Row],[Start]]+gantt_tr2[[#This Row],[Duration]],WORKDAY(gantt_tr2[[#This Row],[Start]],gantt_tr2[[#This Row],[Duration]],holidays)),"")</f>
        <v>0</v>
      </c>
      <c r="G64" s="48" t="str">
        <f>IFERROR(MONTH(gantt_tr2[[#This Row],[End]]) &amp; "/" &amp; IF(DAY(gantt_tr2[[#This Row],[End]])&lt;10,"B",IF(DAY(gantt_tr2[[#This Row],[End]])&lt;20,"M","E")),"")</f>
        <v>1/B</v>
      </c>
      <c r="H64" s="35"/>
      <c r="I64" s="19"/>
      <c r="J64" s="30"/>
      <c r="K64" s="30"/>
      <c r="L64" s="21">
        <f>gantt_tr2[[#This Row],[Start]]+gantt_tr2[[#This Row],[Delay]]</f>
        <v>0</v>
      </c>
      <c r="M64" s="22" t="str">
        <f>IFERROR(IF(gantt_tr2[Duration]="","",IF(gantt_tr2[Start]="",N63,gantt_tr2[Start])),"")</f>
        <v/>
      </c>
      <c r="N64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64" s="34" t="str">
        <f>IFERROR(gantt_tr2[[#This Row],[Actual End]]-gantt_tr2[[#This Row],[Actual Start]],"")</f>
        <v/>
      </c>
      <c r="P64" s="10"/>
      <c r="Q64" s="10"/>
      <c r="R64" s="10"/>
      <c r="T64" s="10"/>
      <c r="U64" s="10"/>
      <c r="V64" s="10"/>
    </row>
    <row r="65" spans="3:22">
      <c r="C65" s="31"/>
      <c r="D65" s="31"/>
      <c r="E65" s="36"/>
      <c r="F65" s="50">
        <f>IFERROR(IF(gantt_tr2[[#This Row],[work on holiday]]="Y",gantt_tr2[[#This Row],[Start]]+gantt_tr2[[#This Row],[Duration]],WORKDAY(gantt_tr2[[#This Row],[Start]],gantt_tr2[[#This Row],[Duration]],holidays)),"")</f>
        <v>0</v>
      </c>
      <c r="G65" s="48" t="str">
        <f>IFERROR(MONTH(gantt_tr2[[#This Row],[End]]) &amp; "/" &amp; IF(DAY(gantt_tr2[[#This Row],[End]])&lt;10,"B",IF(DAY(gantt_tr2[[#This Row],[End]])&lt;20,"M","E")),"")</f>
        <v>1/B</v>
      </c>
      <c r="H65" s="35"/>
      <c r="I65" s="19"/>
      <c r="J65" s="30"/>
      <c r="K65" s="30"/>
      <c r="L65" s="21">
        <f>gantt_tr2[[#This Row],[Start]]+gantt_tr2[[#This Row],[Delay]]</f>
        <v>0</v>
      </c>
      <c r="M65" s="22" t="str">
        <f>IFERROR(IF(gantt_tr2[Duration]="","",IF(gantt_tr2[Start]="",N64,gantt_tr2[Start])),"")</f>
        <v/>
      </c>
      <c r="N65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65" s="34" t="str">
        <f>IFERROR(gantt_tr2[[#This Row],[Actual End]]-gantt_tr2[[#This Row],[Actual Start]],"")</f>
        <v/>
      </c>
      <c r="P65" s="10"/>
      <c r="Q65" s="10"/>
      <c r="R65" s="10"/>
      <c r="T65" s="10"/>
      <c r="U65" s="10"/>
      <c r="V65" s="10"/>
    </row>
    <row r="66" spans="3:22">
      <c r="C66" s="31"/>
      <c r="D66" s="31"/>
      <c r="E66" s="36"/>
      <c r="F66" s="50">
        <f>IFERROR(IF(gantt_tr2[[#This Row],[work on holiday]]="Y",gantt_tr2[[#This Row],[Start]]+gantt_tr2[[#This Row],[Duration]],WORKDAY(gantt_tr2[[#This Row],[Start]],gantt_tr2[[#This Row],[Duration]],holidays)),"")</f>
        <v>0</v>
      </c>
      <c r="G66" s="48" t="str">
        <f>IFERROR(MONTH(gantt_tr2[[#This Row],[End]]) &amp; "/" &amp; IF(DAY(gantt_tr2[[#This Row],[End]])&lt;10,"B",IF(DAY(gantt_tr2[[#This Row],[End]])&lt;20,"M","E")),"")</f>
        <v>1/B</v>
      </c>
      <c r="H66" s="35"/>
      <c r="I66" s="19"/>
      <c r="J66" s="30"/>
      <c r="K66" s="30"/>
      <c r="L66" s="21">
        <f>gantt_tr2[[#This Row],[Start]]+gantt_tr2[[#This Row],[Delay]]</f>
        <v>0</v>
      </c>
      <c r="M66" s="22" t="str">
        <f>IFERROR(IF(gantt_tr2[Duration]="","",IF(gantt_tr2[Start]="",N65,gantt_tr2[Start])),"")</f>
        <v/>
      </c>
      <c r="N66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66" s="34" t="str">
        <f>IFERROR(gantt_tr2[[#This Row],[Actual End]]-gantt_tr2[[#This Row],[Actual Start]],"")</f>
        <v/>
      </c>
      <c r="P66" s="10"/>
      <c r="Q66" s="10"/>
      <c r="R66" s="10"/>
      <c r="T66" s="10"/>
      <c r="U66" s="10"/>
      <c r="V66" s="10"/>
    </row>
    <row r="67" spans="3:22">
      <c r="C67" s="31"/>
      <c r="D67" s="31"/>
      <c r="E67" s="36"/>
      <c r="F67" s="50">
        <f>IFERROR(IF(gantt_tr2[[#This Row],[work on holiday]]="Y",gantt_tr2[[#This Row],[Start]]+gantt_tr2[[#This Row],[Duration]],WORKDAY(gantt_tr2[[#This Row],[Start]],gantt_tr2[[#This Row],[Duration]],holidays)),"")</f>
        <v>0</v>
      </c>
      <c r="G67" s="48" t="str">
        <f>IFERROR(MONTH(gantt_tr2[[#This Row],[End]]) &amp; "/" &amp; IF(DAY(gantt_tr2[[#This Row],[End]])&lt;10,"B",IF(DAY(gantt_tr2[[#This Row],[End]])&lt;20,"M","E")),"")</f>
        <v>1/B</v>
      </c>
      <c r="H67" s="35"/>
      <c r="I67" s="19"/>
      <c r="J67" s="30"/>
      <c r="K67" s="30"/>
      <c r="L67" s="21">
        <f>gantt_tr2[[#This Row],[Start]]+gantt_tr2[[#This Row],[Delay]]</f>
        <v>0</v>
      </c>
      <c r="M67" s="22" t="str">
        <f>IFERROR(IF(gantt_tr2[Duration]="","",IF(gantt_tr2[Start]="",N66,gantt_tr2[Start])),"")</f>
        <v/>
      </c>
      <c r="N67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67" s="34" t="str">
        <f>IFERROR(gantt_tr2[[#This Row],[Actual End]]-gantt_tr2[[#This Row],[Actual Start]],"")</f>
        <v/>
      </c>
      <c r="P67" s="10"/>
      <c r="Q67" s="10"/>
      <c r="R67" s="10"/>
      <c r="T67" s="10"/>
      <c r="U67" s="10"/>
      <c r="V67" s="10"/>
    </row>
    <row r="68" spans="3:22">
      <c r="C68" s="31"/>
      <c r="D68" s="31"/>
      <c r="E68" s="36"/>
      <c r="F68" s="50">
        <f>IFERROR(IF(gantt_tr2[[#This Row],[work on holiday]]="Y",gantt_tr2[[#This Row],[Start]]+gantt_tr2[[#This Row],[Duration]],WORKDAY(gantt_tr2[[#This Row],[Start]],gantt_tr2[[#This Row],[Duration]],holidays)),"")</f>
        <v>0</v>
      </c>
      <c r="G68" s="48" t="str">
        <f>IFERROR(MONTH(gantt_tr2[[#This Row],[End]]) &amp; "/" &amp; IF(DAY(gantt_tr2[[#This Row],[End]])&lt;10,"B",IF(DAY(gantt_tr2[[#This Row],[End]])&lt;20,"M","E")),"")</f>
        <v>1/B</v>
      </c>
      <c r="H68" s="35"/>
      <c r="I68" s="19"/>
      <c r="J68" s="30"/>
      <c r="K68" s="30"/>
      <c r="L68" s="21">
        <f>gantt_tr2[[#This Row],[Start]]+gantt_tr2[[#This Row],[Delay]]</f>
        <v>0</v>
      </c>
      <c r="M68" s="22" t="str">
        <f>IFERROR(IF(gantt_tr2[Duration]="","",IF(gantt_tr2[Start]="",N67,gantt_tr2[Start])),"")</f>
        <v/>
      </c>
      <c r="N68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68" s="34" t="str">
        <f>IFERROR(gantt_tr2[[#This Row],[Actual End]]-gantt_tr2[[#This Row],[Actual Start]],"")</f>
        <v/>
      </c>
      <c r="P68" s="10"/>
      <c r="Q68" s="10"/>
      <c r="R68" s="10"/>
      <c r="T68" s="10"/>
      <c r="U68" s="10"/>
      <c r="V68" s="10"/>
    </row>
    <row r="69" spans="3:22">
      <c r="C69" s="25"/>
      <c r="D69" s="25"/>
      <c r="E69" s="17"/>
      <c r="F69" s="48">
        <f>IFERROR(IF(gantt_tr2[[#This Row],[work on holiday]]="Y",gantt_tr2[[#This Row],[Start]]+gantt_tr2[[#This Row],[Duration]],WORKDAY(gantt_tr2[[#This Row],[Start]],gantt_tr2[[#This Row],[Duration]],holidays)),"")</f>
        <v>0</v>
      </c>
      <c r="G69" s="48" t="str">
        <f>IFERROR(MONTH(gantt_tr2[[#This Row],[End]]) &amp; "/" &amp; IF(DAY(gantt_tr2[[#This Row],[End]])&lt;10,"B",IF(DAY(gantt_tr2[[#This Row],[End]])&lt;20,"M","E")),"")</f>
        <v>1/B</v>
      </c>
      <c r="H69" s="35"/>
      <c r="I69" s="37"/>
      <c r="J69" s="30"/>
      <c r="K69" s="30"/>
      <c r="L69" s="32">
        <f>gantt_tr2[[#This Row],[Start]]+gantt_tr2[[#This Row],[Delay]]</f>
        <v>0</v>
      </c>
      <c r="M69" s="22" t="str">
        <f>IFERROR(IF(gantt_tr2[Duration]="","",IF(gantt_tr2[Start]="",N68,gantt_tr2[Start])),"")</f>
        <v/>
      </c>
      <c r="N69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69" s="34" t="str">
        <f>IFERROR(gantt_tr2[[#This Row],[Actual End]]-gantt_tr2[[#This Row],[Actual Start]],"")</f>
        <v/>
      </c>
      <c r="P69" s="10"/>
      <c r="Q69" s="10"/>
      <c r="R69" s="10"/>
      <c r="T69" s="10"/>
      <c r="U69" s="10"/>
      <c r="V69" s="10"/>
    </row>
    <row r="70" spans="3:22">
      <c r="C70" s="31"/>
      <c r="D70" s="31"/>
      <c r="E70" s="36"/>
      <c r="F70" s="50">
        <f>IFERROR(IF(gantt_tr2[[#This Row],[work on holiday]]="Y",gantt_tr2[[#This Row],[Start]]+gantt_tr2[[#This Row],[Duration]],WORKDAY(gantt_tr2[[#This Row],[Start]],gantt_tr2[[#This Row],[Duration]],holidays)),"")</f>
        <v>0</v>
      </c>
      <c r="G70" s="48" t="str">
        <f>IFERROR(MONTH(gantt_tr2[[#This Row],[End]]) &amp; "/" &amp; IF(DAY(gantt_tr2[[#This Row],[End]])&lt;10,"B",IF(DAY(gantt_tr2[[#This Row],[End]])&lt;20,"M","E")),"")</f>
        <v>1/B</v>
      </c>
      <c r="H70" s="35"/>
      <c r="I70" s="19"/>
      <c r="J70" s="30"/>
      <c r="K70" s="30"/>
      <c r="L70" s="21">
        <f>gantt_tr2[[#This Row],[Start]]+gantt_tr2[[#This Row],[Delay]]</f>
        <v>0</v>
      </c>
      <c r="M70" s="22" t="str">
        <f>IFERROR(IF(gantt_tr2[Duration]="","",IF(gantt_tr2[Start]="",N69,gantt_tr2[Start])),"")</f>
        <v/>
      </c>
      <c r="N70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70" s="34" t="str">
        <f>IFERROR(gantt_tr2[[#This Row],[Actual End]]-gantt_tr2[[#This Row],[Actual Start]],"")</f>
        <v/>
      </c>
      <c r="P70" s="10"/>
      <c r="Q70" s="10"/>
      <c r="R70" s="10"/>
      <c r="T70" s="10"/>
      <c r="U70" s="10"/>
      <c r="V70" s="10"/>
    </row>
    <row r="71" spans="3:22">
      <c r="C71" s="31"/>
      <c r="D71" s="31"/>
      <c r="E71" s="36"/>
      <c r="F71" s="50">
        <f>IFERROR(IF(gantt_tr2[[#This Row],[work on holiday]]="Y",gantt_tr2[[#This Row],[Start]]+gantt_tr2[[#This Row],[Duration]],WORKDAY(gantt_tr2[[#This Row],[Start]],gantt_tr2[[#This Row],[Duration]],holidays)),"")</f>
        <v>0</v>
      </c>
      <c r="G71" s="48" t="str">
        <f>IFERROR(MONTH(gantt_tr2[[#This Row],[End]]) &amp; "/" &amp; IF(DAY(gantt_tr2[[#This Row],[End]])&lt;10,"B",IF(DAY(gantt_tr2[[#This Row],[End]])&lt;20,"M","E")),"")</f>
        <v>1/B</v>
      </c>
      <c r="H71" s="35"/>
      <c r="I71" s="19"/>
      <c r="J71" s="30"/>
      <c r="K71" s="30"/>
      <c r="L71" s="21">
        <f>gantt_tr2[[#This Row],[Start]]+gantt_tr2[[#This Row],[Delay]]</f>
        <v>0</v>
      </c>
      <c r="M71" s="22" t="str">
        <f>IFERROR(IF(gantt_tr2[Duration]="","",IF(gantt_tr2[Start]="",N70,gantt_tr2[Start])),"")</f>
        <v/>
      </c>
      <c r="N71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71" s="34" t="str">
        <f>IFERROR(gantt_tr2[[#This Row],[Actual End]]-gantt_tr2[[#This Row],[Actual Start]],"")</f>
        <v/>
      </c>
      <c r="P71" s="10"/>
      <c r="Q71" s="10"/>
      <c r="R71" s="10"/>
      <c r="T71" s="10"/>
      <c r="U71" s="10"/>
      <c r="V71" s="10"/>
    </row>
    <row r="72" spans="3:22">
      <c r="C72" s="31"/>
      <c r="D72" s="31"/>
      <c r="E72" s="36"/>
      <c r="F72" s="50">
        <f>IFERROR(IF(gantt_tr2[[#This Row],[work on holiday]]="Y",gantt_tr2[[#This Row],[Start]]+gantt_tr2[[#This Row],[Duration]],WORKDAY(gantt_tr2[[#This Row],[Start]],gantt_tr2[[#This Row],[Duration]],holidays)),"")</f>
        <v>0</v>
      </c>
      <c r="G72" s="48" t="str">
        <f>IFERROR(MONTH(gantt_tr2[[#This Row],[End]]) &amp; "/" &amp; IF(DAY(gantt_tr2[[#This Row],[End]])&lt;10,"B",IF(DAY(gantt_tr2[[#This Row],[End]])&lt;20,"M","E")),"")</f>
        <v>1/B</v>
      </c>
      <c r="H72" s="35"/>
      <c r="I72" s="19"/>
      <c r="J72" s="30"/>
      <c r="K72" s="30"/>
      <c r="L72" s="21">
        <f>gantt_tr2[[#This Row],[Start]]+gantt_tr2[[#This Row],[Delay]]</f>
        <v>0</v>
      </c>
      <c r="M72" s="22" t="str">
        <f>IFERROR(IF(gantt_tr2[Duration]="","",IF(gantt_tr2[Start]="",N71,gantt_tr2[Start])),"")</f>
        <v/>
      </c>
      <c r="N72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72" s="34" t="str">
        <f>IFERROR(gantt_tr2[[#This Row],[Actual End]]-gantt_tr2[[#This Row],[Actual Start]],"")</f>
        <v/>
      </c>
      <c r="P72" s="10"/>
      <c r="Q72" s="10"/>
      <c r="R72" s="10"/>
      <c r="T72" s="10"/>
      <c r="U72" s="10"/>
      <c r="V72" s="10"/>
    </row>
    <row r="73" spans="3:22">
      <c r="C73" s="31"/>
      <c r="D73" s="31"/>
      <c r="E73" s="36"/>
      <c r="F73" s="50">
        <f>IFERROR(IF(gantt_tr2[[#This Row],[work on holiday]]="Y",gantt_tr2[[#This Row],[Start]]+gantt_tr2[[#This Row],[Duration]],WORKDAY(gantt_tr2[[#This Row],[Start]],gantt_tr2[[#This Row],[Duration]],holidays)),"")</f>
        <v>0</v>
      </c>
      <c r="G73" s="48" t="str">
        <f>IFERROR(MONTH(gantt_tr2[[#This Row],[End]]) &amp; "/" &amp; IF(DAY(gantt_tr2[[#This Row],[End]])&lt;10,"B",IF(DAY(gantt_tr2[[#This Row],[End]])&lt;20,"M","E")),"")</f>
        <v>1/B</v>
      </c>
      <c r="H73" s="35"/>
      <c r="I73" s="19"/>
      <c r="J73" s="30"/>
      <c r="K73" s="30"/>
      <c r="L73" s="21">
        <f>gantt_tr2[[#This Row],[Start]]+gantt_tr2[[#This Row],[Delay]]</f>
        <v>0</v>
      </c>
      <c r="M73" s="22" t="str">
        <f>IFERROR(IF(gantt_tr2[Duration]="","",IF(gantt_tr2[Start]="",N72,gantt_tr2[Start])),"")</f>
        <v/>
      </c>
      <c r="N73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73" s="34" t="str">
        <f>IFERROR(gantt_tr2[[#This Row],[Actual End]]-gantt_tr2[[#This Row],[Actual Start]],"")</f>
        <v/>
      </c>
      <c r="P73" s="10"/>
      <c r="Q73" s="10"/>
      <c r="R73" s="10"/>
      <c r="T73" s="10"/>
      <c r="U73" s="10"/>
      <c r="V73" s="10"/>
    </row>
    <row r="74" spans="3:22">
      <c r="C74" s="31"/>
      <c r="D74" s="31"/>
      <c r="E74" s="36"/>
      <c r="F74" s="50">
        <f>IFERROR(IF(gantt_tr2[[#This Row],[work on holiday]]="Y",gantt_tr2[[#This Row],[Start]]+gantt_tr2[[#This Row],[Duration]],WORKDAY(gantt_tr2[[#This Row],[Start]],gantt_tr2[[#This Row],[Duration]],holidays)),"")</f>
        <v>0</v>
      </c>
      <c r="G74" s="48" t="str">
        <f>IFERROR(MONTH(gantt_tr2[[#This Row],[End]]) &amp; "/" &amp; IF(DAY(gantt_tr2[[#This Row],[End]])&lt;10,"B",IF(DAY(gantt_tr2[[#This Row],[End]])&lt;20,"M","E")),"")</f>
        <v>1/B</v>
      </c>
      <c r="H74" s="35"/>
      <c r="I74" s="19"/>
      <c r="J74" s="30"/>
      <c r="K74" s="30"/>
      <c r="L74" s="21">
        <f>gantt_tr2[[#This Row],[Start]]+gantt_tr2[[#This Row],[Delay]]</f>
        <v>0</v>
      </c>
      <c r="M74" s="22" t="str">
        <f>IFERROR(IF(gantt_tr2[Duration]="","",IF(gantt_tr2[Start]="",N73,gantt_tr2[Start])),"")</f>
        <v/>
      </c>
      <c r="N74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74" s="34" t="str">
        <f>IFERROR(gantt_tr2[[#This Row],[Actual End]]-gantt_tr2[[#This Row],[Actual Start]],"")</f>
        <v/>
      </c>
      <c r="P74" s="10"/>
      <c r="Q74" s="10"/>
      <c r="R74" s="10"/>
      <c r="T74" s="10"/>
      <c r="U74" s="10"/>
      <c r="V74" s="10"/>
    </row>
    <row r="75" spans="3:22">
      <c r="C75" s="41"/>
      <c r="D75" s="41"/>
      <c r="E75" s="36"/>
      <c r="F75" s="50">
        <f>IFERROR(IF(gantt_tr2[[#This Row],[work on holiday]]="Y",gantt_tr2[[#This Row],[Start]]+gantt_tr2[[#This Row],[Duration]],WORKDAY(gantt_tr2[[#This Row],[Start]],gantt_tr2[[#This Row],[Duration]],holidays)),"")</f>
        <v>0</v>
      </c>
      <c r="G75" s="48" t="str">
        <f>IFERROR(MONTH(gantt_tr2[[#This Row],[End]]) &amp; "/" &amp; IF(DAY(gantt_tr2[[#This Row],[End]])&lt;10,"B",IF(DAY(gantt_tr2[[#This Row],[End]])&lt;20,"M","E")),"")</f>
        <v>1/B</v>
      </c>
      <c r="H75" s="35"/>
      <c r="I75" s="19"/>
      <c r="J75" s="30"/>
      <c r="K75" s="30"/>
      <c r="L75" s="21">
        <f>gantt_tr2[[#This Row],[Start]]+gantt_tr2[[#This Row],[Delay]]</f>
        <v>0</v>
      </c>
      <c r="M75" s="22" t="str">
        <f>IFERROR(IF(gantt_tr2[Duration]="","",IF(gantt_tr2[Start]="",N74,gantt_tr2[Start])),"")</f>
        <v/>
      </c>
      <c r="N75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75" s="34" t="str">
        <f>IFERROR(gantt_tr2[[#This Row],[Actual End]]-gantt_tr2[[#This Row],[Actual Start]],"")</f>
        <v/>
      </c>
      <c r="P75" s="10"/>
      <c r="Q75" s="10"/>
      <c r="R75" s="10"/>
      <c r="T75" s="10"/>
      <c r="U75" s="10"/>
      <c r="V75" s="10"/>
    </row>
    <row r="76" spans="3:22">
      <c r="C76" s="41"/>
      <c r="D76" s="41"/>
      <c r="E76" s="36"/>
      <c r="F76" s="50">
        <f>IFERROR(IF(gantt_tr2[[#This Row],[work on holiday]]="Y",gantt_tr2[[#This Row],[Start]]+gantt_tr2[[#This Row],[Duration]],WORKDAY(gantt_tr2[[#This Row],[Start]],gantt_tr2[[#This Row],[Duration]],holidays)),"")</f>
        <v>0</v>
      </c>
      <c r="G76" s="48" t="str">
        <f>IFERROR(MONTH(gantt_tr2[[#This Row],[End]]) &amp; "/" &amp; IF(DAY(gantt_tr2[[#This Row],[End]])&lt;10,"B",IF(DAY(gantt_tr2[[#This Row],[End]])&lt;20,"M","E")),"")</f>
        <v>1/B</v>
      </c>
      <c r="H76" s="35"/>
      <c r="I76" s="19"/>
      <c r="J76" s="30"/>
      <c r="K76" s="30"/>
      <c r="L76" s="21">
        <f>gantt_tr2[[#This Row],[Start]]+gantt_tr2[[#This Row],[Delay]]</f>
        <v>0</v>
      </c>
      <c r="M76" s="22" t="str">
        <f>IFERROR(IF(gantt_tr2[Duration]="","",IF(gantt_tr2[Start]="",N75,gantt_tr2[Start])),"")</f>
        <v/>
      </c>
      <c r="N76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76" s="34" t="str">
        <f>IFERROR(gantt_tr2[[#This Row],[Actual End]]-gantt_tr2[[#This Row],[Actual Start]],"")</f>
        <v/>
      </c>
      <c r="P76" s="10"/>
      <c r="Q76" s="10"/>
      <c r="R76" s="10"/>
      <c r="T76" s="10"/>
      <c r="U76" s="10"/>
      <c r="V76" s="10"/>
    </row>
    <row r="77" spans="3:22">
      <c r="C77" s="41"/>
      <c r="D77" s="41"/>
      <c r="E77" s="36"/>
      <c r="F77" s="50">
        <f>IFERROR(IF(gantt_tr2[[#This Row],[work on holiday]]="Y",gantt_tr2[[#This Row],[Start]]+gantt_tr2[[#This Row],[Duration]],WORKDAY(gantt_tr2[[#This Row],[Start]],gantt_tr2[[#This Row],[Duration]],holidays)),"")</f>
        <v>0</v>
      </c>
      <c r="G77" s="48" t="str">
        <f>IFERROR(MONTH(gantt_tr2[[#This Row],[End]]) &amp; "/" &amp; IF(DAY(gantt_tr2[[#This Row],[End]])&lt;10,"B",IF(DAY(gantt_tr2[[#This Row],[End]])&lt;20,"M","E")),"")</f>
        <v>1/B</v>
      </c>
      <c r="H77" s="35"/>
      <c r="I77" s="19"/>
      <c r="J77" s="30"/>
      <c r="K77" s="30"/>
      <c r="L77" s="21">
        <f>gantt_tr2[[#This Row],[Start]]+gantt_tr2[[#This Row],[Delay]]</f>
        <v>0</v>
      </c>
      <c r="M77" s="22" t="str">
        <f>IFERROR(IF(gantt_tr2[Duration]="","",IF(gantt_tr2[Start]="",N76,gantt_tr2[Start])),"")</f>
        <v/>
      </c>
      <c r="N77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77" s="34" t="str">
        <f>IFERROR(gantt_tr2[[#This Row],[Actual End]]-gantt_tr2[[#This Row],[Actual Start]],"")</f>
        <v/>
      </c>
      <c r="P77" s="10"/>
      <c r="Q77" s="10"/>
      <c r="R77" s="10"/>
      <c r="T77" s="10"/>
      <c r="U77" s="10"/>
      <c r="V77" s="10"/>
    </row>
    <row r="78" spans="3:22">
      <c r="C78" s="41"/>
      <c r="D78" s="41"/>
      <c r="E78" s="36"/>
      <c r="F78" s="50">
        <f>IFERROR(IF(gantt_tr2[[#This Row],[work on holiday]]="Y",gantt_tr2[[#This Row],[Start]]+gantt_tr2[[#This Row],[Duration]],WORKDAY(gantt_tr2[[#This Row],[Start]],gantt_tr2[[#This Row],[Duration]],holidays)),"")</f>
        <v>0</v>
      </c>
      <c r="G78" s="48" t="str">
        <f>IFERROR(MONTH(gantt_tr2[[#This Row],[End]]) &amp; "/" &amp; IF(DAY(gantt_tr2[[#This Row],[End]])&lt;10,"B",IF(DAY(gantt_tr2[[#This Row],[End]])&lt;20,"M","E")),"")</f>
        <v>1/B</v>
      </c>
      <c r="H78" s="35"/>
      <c r="I78" s="19"/>
      <c r="J78" s="30"/>
      <c r="K78" s="30"/>
      <c r="L78" s="21">
        <f>gantt_tr2[[#This Row],[Start]]+gantt_tr2[[#This Row],[Delay]]</f>
        <v>0</v>
      </c>
      <c r="M78" s="22" t="str">
        <f>IFERROR(IF(gantt_tr2[Duration]="","",IF(gantt_tr2[Start]="",N77,gantt_tr2[Start])),"")</f>
        <v/>
      </c>
      <c r="N78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78" s="34" t="str">
        <f>IFERROR(gantt_tr2[[#This Row],[Actual End]]-gantt_tr2[[#This Row],[Actual Start]],"")</f>
        <v/>
      </c>
      <c r="P78" s="10"/>
      <c r="Q78" s="10"/>
      <c r="R78" s="10"/>
      <c r="T78" s="10"/>
      <c r="U78" s="10"/>
      <c r="V78" s="10"/>
    </row>
    <row r="79" spans="3:22">
      <c r="C79" s="41"/>
      <c r="D79" s="41"/>
      <c r="E79" s="36"/>
      <c r="F79" s="50">
        <f>IFERROR(IF(gantt_tr2[[#This Row],[work on holiday]]="Y",gantt_tr2[[#This Row],[Start]]+gantt_tr2[[#This Row],[Duration]],WORKDAY(gantt_tr2[[#This Row],[Start]],gantt_tr2[[#This Row],[Duration]],holidays)),"")</f>
        <v>0</v>
      </c>
      <c r="G79" s="48" t="str">
        <f>IFERROR(MONTH(gantt_tr2[[#This Row],[End]]) &amp; "/" &amp; IF(DAY(gantt_tr2[[#This Row],[End]])&lt;10,"B",IF(DAY(gantt_tr2[[#This Row],[End]])&lt;20,"M","E")),"")</f>
        <v>1/B</v>
      </c>
      <c r="H79" s="35"/>
      <c r="I79" s="19"/>
      <c r="J79" s="30"/>
      <c r="K79" s="30"/>
      <c r="L79" s="21">
        <f>gantt_tr2[[#This Row],[Start]]+gantt_tr2[[#This Row],[Delay]]</f>
        <v>0</v>
      </c>
      <c r="M79" s="22" t="str">
        <f>IFERROR(IF(gantt_tr2[Duration]="","",IF(gantt_tr2[Start]="",N78,gantt_tr2[Start])),"")</f>
        <v/>
      </c>
      <c r="N79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79" s="34" t="str">
        <f>IFERROR(gantt_tr2[[#This Row],[Actual End]]-gantt_tr2[[#This Row],[Actual Start]],"")</f>
        <v/>
      </c>
      <c r="P79" s="10"/>
      <c r="Q79" s="10"/>
      <c r="R79" s="10"/>
      <c r="T79" s="10"/>
      <c r="U79" s="10"/>
      <c r="V79" s="10"/>
    </row>
    <row r="80" spans="3:22">
      <c r="C80" s="41"/>
      <c r="D80" s="41"/>
      <c r="E80" s="36"/>
      <c r="F80" s="50">
        <f>IFERROR(IF(gantt_tr2[[#This Row],[work on holiday]]="Y",gantt_tr2[[#This Row],[Start]]+gantt_tr2[[#This Row],[Duration]],WORKDAY(gantt_tr2[[#This Row],[Start]],gantt_tr2[[#This Row],[Duration]],holidays)),"")</f>
        <v>0</v>
      </c>
      <c r="G80" s="48" t="str">
        <f>IFERROR(MONTH(gantt_tr2[[#This Row],[End]]) &amp; "/" &amp; IF(DAY(gantt_tr2[[#This Row],[End]])&lt;10,"B",IF(DAY(gantt_tr2[[#This Row],[End]])&lt;20,"M","E")),"")</f>
        <v>1/B</v>
      </c>
      <c r="H80" s="35"/>
      <c r="I80" s="19"/>
      <c r="J80" s="30"/>
      <c r="K80" s="30"/>
      <c r="L80" s="21">
        <f>gantt_tr2[[#This Row],[Start]]+gantt_tr2[[#This Row],[Delay]]</f>
        <v>0</v>
      </c>
      <c r="M80" s="22" t="str">
        <f>IFERROR(IF(gantt_tr2[Duration]="","",IF(gantt_tr2[Start]="",N79,gantt_tr2[Start])),"")</f>
        <v/>
      </c>
      <c r="N80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80" s="34" t="str">
        <f>IFERROR(gantt_tr2[[#This Row],[Actual End]]-gantt_tr2[[#This Row],[Actual Start]],"")</f>
        <v/>
      </c>
      <c r="P80" s="10"/>
      <c r="Q80" s="10"/>
      <c r="R80" s="10"/>
      <c r="T80" s="10"/>
      <c r="U80" s="10"/>
      <c r="V80" s="10"/>
    </row>
    <row r="81" spans="3:22">
      <c r="C81" s="41"/>
      <c r="D81" s="41"/>
      <c r="E81" s="36"/>
      <c r="F81" s="50">
        <f>IFERROR(IF(gantt_tr2[[#This Row],[work on holiday]]="Y",gantt_tr2[[#This Row],[Start]]+gantt_tr2[[#This Row],[Duration]],WORKDAY(gantt_tr2[[#This Row],[Start]],gantt_tr2[[#This Row],[Duration]],holidays)),"")</f>
        <v>0</v>
      </c>
      <c r="G81" s="48" t="str">
        <f>IFERROR(MONTH(gantt_tr2[[#This Row],[End]]) &amp; "/" &amp; IF(DAY(gantt_tr2[[#This Row],[End]])&lt;10,"B",IF(DAY(gantt_tr2[[#This Row],[End]])&lt;20,"M","E")),"")</f>
        <v>1/B</v>
      </c>
      <c r="H81" s="35"/>
      <c r="I81" s="19"/>
      <c r="J81" s="30"/>
      <c r="K81" s="30"/>
      <c r="L81" s="21">
        <f>gantt_tr2[[#This Row],[Start]]+gantt_tr2[[#This Row],[Delay]]</f>
        <v>0</v>
      </c>
      <c r="M81" s="22" t="str">
        <f>IFERROR(IF(gantt_tr2[Duration]="","",IF(gantt_tr2[Start]="",N80,gantt_tr2[Start])),"")</f>
        <v/>
      </c>
      <c r="N81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81" s="34" t="str">
        <f>IFERROR(gantt_tr2[[#This Row],[Actual End]]-gantt_tr2[[#This Row],[Actual Start]],"")</f>
        <v/>
      </c>
      <c r="P81" s="10"/>
      <c r="Q81" s="10"/>
      <c r="R81" s="10"/>
      <c r="T81" s="10"/>
      <c r="U81" s="10"/>
      <c r="V81" s="10"/>
    </row>
    <row r="82" spans="3:22">
      <c r="C82" s="41"/>
      <c r="D82" s="41"/>
      <c r="E82" s="36"/>
      <c r="F82" s="50">
        <f>IFERROR(IF(gantt_tr2[[#This Row],[work on holiday]]="Y",gantt_tr2[[#This Row],[Start]]+gantt_tr2[[#This Row],[Duration]],WORKDAY(gantt_tr2[[#This Row],[Start]],gantt_tr2[[#This Row],[Duration]],holidays)),"")</f>
        <v>0</v>
      </c>
      <c r="G82" s="48" t="str">
        <f>IFERROR(MONTH(gantt_tr2[[#This Row],[End]]) &amp; "/" &amp; IF(DAY(gantt_tr2[[#This Row],[End]])&lt;10,"B",IF(DAY(gantt_tr2[[#This Row],[End]])&lt;20,"M","E")),"")</f>
        <v>1/B</v>
      </c>
      <c r="H82" s="35"/>
      <c r="I82" s="19"/>
      <c r="J82" s="30"/>
      <c r="K82" s="30"/>
      <c r="L82" s="21">
        <f>gantt_tr2[[#This Row],[Start]]+gantt_tr2[[#This Row],[Delay]]</f>
        <v>0</v>
      </c>
      <c r="M82" s="22" t="str">
        <f>IFERROR(IF(gantt_tr2[Duration]="","",IF(gantt_tr2[Start]="",N81,gantt_tr2[Start])),"")</f>
        <v/>
      </c>
      <c r="N82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82" s="34" t="str">
        <f>IFERROR(gantt_tr2[[#This Row],[Actual End]]-gantt_tr2[[#This Row],[Actual Start]],"")</f>
        <v/>
      </c>
      <c r="P82" s="10"/>
      <c r="Q82" s="10"/>
      <c r="R82" s="10"/>
      <c r="T82" s="10"/>
      <c r="U82" s="10"/>
      <c r="V82" s="10"/>
    </row>
    <row r="83" spans="3:22">
      <c r="C83" s="41"/>
      <c r="D83" s="41"/>
      <c r="E83" s="36"/>
      <c r="F83" s="50">
        <f>IFERROR(IF(gantt_tr2[[#This Row],[work on holiday]]="Y",gantt_tr2[[#This Row],[Start]]+gantt_tr2[[#This Row],[Duration]],WORKDAY(gantt_tr2[[#This Row],[Start]],gantt_tr2[[#This Row],[Duration]],holidays)),"")</f>
        <v>0</v>
      </c>
      <c r="G83" s="48" t="str">
        <f>IFERROR(MONTH(gantt_tr2[[#This Row],[End]]) &amp; "/" &amp; IF(DAY(gantt_tr2[[#This Row],[End]])&lt;10,"B",IF(DAY(gantt_tr2[[#This Row],[End]])&lt;20,"M","E")),"")</f>
        <v>1/B</v>
      </c>
      <c r="H83" s="35"/>
      <c r="I83" s="19"/>
      <c r="J83" s="30"/>
      <c r="K83" s="30"/>
      <c r="L83" s="21">
        <f>gantt_tr2[[#This Row],[Start]]+gantt_tr2[[#This Row],[Delay]]</f>
        <v>0</v>
      </c>
      <c r="M83" s="22" t="str">
        <f>IFERROR(IF(gantt_tr2[Duration]="","",IF(gantt_tr2[Start]="",N82,gantt_tr2[Start])),"")</f>
        <v/>
      </c>
      <c r="N83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83" s="34" t="str">
        <f>IFERROR(gantt_tr2[[#This Row],[Actual End]]-gantt_tr2[[#This Row],[Actual Start]],"")</f>
        <v/>
      </c>
      <c r="P83" s="10"/>
      <c r="Q83" s="10"/>
      <c r="R83" s="10"/>
      <c r="T83" s="10"/>
      <c r="U83" s="10"/>
      <c r="V83" s="10"/>
    </row>
    <row r="84" spans="3:22">
      <c r="C84" s="41"/>
      <c r="D84" s="41"/>
      <c r="E84" s="36"/>
      <c r="F84" s="50">
        <f>IFERROR(IF(gantt_tr2[[#This Row],[work on holiday]]="Y",gantt_tr2[[#This Row],[Start]]+gantt_tr2[[#This Row],[Duration]],WORKDAY(gantt_tr2[[#This Row],[Start]],gantt_tr2[[#This Row],[Duration]],holidays)),"")</f>
        <v>0</v>
      </c>
      <c r="G84" s="48" t="str">
        <f>IFERROR(MONTH(gantt_tr2[[#This Row],[End]]) &amp; "/" &amp; IF(DAY(gantt_tr2[[#This Row],[End]])&lt;10,"B",IF(DAY(gantt_tr2[[#This Row],[End]])&lt;20,"M","E")),"")</f>
        <v>1/B</v>
      </c>
      <c r="H84" s="35"/>
      <c r="I84" s="19"/>
      <c r="J84" s="30"/>
      <c r="K84" s="30"/>
      <c r="L84" s="21">
        <f>gantt_tr2[[#This Row],[Start]]+gantt_tr2[[#This Row],[Delay]]</f>
        <v>0</v>
      </c>
      <c r="M84" s="22" t="str">
        <f>IFERROR(IF(gantt_tr2[Duration]="","",IF(gantt_tr2[Start]="",N83,gantt_tr2[Start])),"")</f>
        <v/>
      </c>
      <c r="N84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84" s="34" t="str">
        <f>IFERROR(gantt_tr2[[#This Row],[Actual End]]-gantt_tr2[[#This Row],[Actual Start]],"")</f>
        <v/>
      </c>
      <c r="P84" s="10"/>
      <c r="Q84" s="10"/>
      <c r="R84" s="10"/>
      <c r="T84" s="10"/>
      <c r="U84" s="10"/>
      <c r="V84" s="10"/>
    </row>
    <row r="85" spans="3:22">
      <c r="C85" s="41"/>
      <c r="D85" s="41"/>
      <c r="E85" s="36"/>
      <c r="F85" s="50">
        <f>IFERROR(IF(gantt_tr2[[#This Row],[work on holiday]]="Y",gantt_tr2[[#This Row],[Start]]+gantt_tr2[[#This Row],[Duration]],WORKDAY(gantt_tr2[[#This Row],[Start]],gantt_tr2[[#This Row],[Duration]],holidays)),"")</f>
        <v>0</v>
      </c>
      <c r="G85" s="48" t="str">
        <f>IFERROR(MONTH(gantt_tr2[[#This Row],[End]]) &amp; "/" &amp; IF(DAY(gantt_tr2[[#This Row],[End]])&lt;10,"B",IF(DAY(gantt_tr2[[#This Row],[End]])&lt;20,"M","E")),"")</f>
        <v>1/B</v>
      </c>
      <c r="H85" s="35"/>
      <c r="I85" s="19"/>
      <c r="J85" s="30"/>
      <c r="K85" s="30"/>
      <c r="L85" s="21">
        <f>gantt_tr2[[#This Row],[Start]]+gantt_tr2[[#This Row],[Delay]]</f>
        <v>0</v>
      </c>
      <c r="M85" s="22" t="str">
        <f>IFERROR(IF(gantt_tr2[Duration]="","",IF(gantt_tr2[Start]="",N84,gantt_tr2[Start])),"")</f>
        <v/>
      </c>
      <c r="N85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85" s="34" t="str">
        <f>IFERROR(gantt_tr2[[#This Row],[Actual End]]-gantt_tr2[[#This Row],[Actual Start]],"")</f>
        <v/>
      </c>
      <c r="P85" s="10"/>
      <c r="Q85" s="10"/>
      <c r="R85" s="10"/>
      <c r="T85" s="10"/>
      <c r="U85" s="10"/>
      <c r="V85" s="10"/>
    </row>
    <row r="86" spans="3:22">
      <c r="C86" s="41"/>
      <c r="D86" s="41"/>
      <c r="E86" s="36"/>
      <c r="F86" s="50">
        <f>IFERROR(IF(gantt_tr2[[#This Row],[work on holiday]]="Y",gantt_tr2[[#This Row],[Start]]+gantt_tr2[[#This Row],[Duration]],WORKDAY(gantt_tr2[[#This Row],[Start]],gantt_tr2[[#This Row],[Duration]],holidays)),"")</f>
        <v>0</v>
      </c>
      <c r="G86" s="48" t="str">
        <f>IFERROR(MONTH(gantt_tr2[[#This Row],[End]]) &amp; "/" &amp; IF(DAY(gantt_tr2[[#This Row],[End]])&lt;10,"B",IF(DAY(gantt_tr2[[#This Row],[End]])&lt;20,"M","E")),"")</f>
        <v>1/B</v>
      </c>
      <c r="H86" s="35"/>
      <c r="I86" s="19"/>
      <c r="J86" s="30"/>
      <c r="K86" s="30"/>
      <c r="L86" s="21">
        <f>gantt_tr2[[#This Row],[Start]]+gantt_tr2[[#This Row],[Delay]]</f>
        <v>0</v>
      </c>
      <c r="M86" s="22" t="str">
        <f>IFERROR(IF(gantt_tr2[Duration]="","",IF(gantt_tr2[Start]="",N85,gantt_tr2[Start])),"")</f>
        <v/>
      </c>
      <c r="N86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86" s="34" t="str">
        <f>IFERROR(gantt_tr2[[#This Row],[Actual End]]-gantt_tr2[[#This Row],[Actual Start]],"")</f>
        <v/>
      </c>
      <c r="P86" s="10"/>
      <c r="Q86" s="10"/>
      <c r="R86" s="10"/>
      <c r="T86" s="10"/>
      <c r="U86" s="10"/>
      <c r="V86" s="10"/>
    </row>
    <row r="87" spans="3:22">
      <c r="C87" s="41"/>
      <c r="D87" s="41"/>
      <c r="E87" s="36"/>
      <c r="F87" s="50">
        <f>IFERROR(IF(gantt_tr2[[#This Row],[work on holiday]]="Y",gantt_tr2[[#This Row],[Start]]+gantt_tr2[[#This Row],[Duration]],WORKDAY(gantt_tr2[[#This Row],[Start]],gantt_tr2[[#This Row],[Duration]],holidays)),"")</f>
        <v>0</v>
      </c>
      <c r="G87" s="48" t="str">
        <f>IFERROR(MONTH(gantt_tr2[[#This Row],[End]]) &amp; "/" &amp; IF(DAY(gantt_tr2[[#This Row],[End]])&lt;10,"B",IF(DAY(gantt_tr2[[#This Row],[End]])&lt;20,"M","E")),"")</f>
        <v>1/B</v>
      </c>
      <c r="H87" s="35"/>
      <c r="I87" s="19"/>
      <c r="J87" s="30"/>
      <c r="K87" s="30"/>
      <c r="L87" s="21">
        <f>gantt_tr2[[#This Row],[Start]]+gantt_tr2[[#This Row],[Delay]]</f>
        <v>0</v>
      </c>
      <c r="M87" s="22" t="str">
        <f>IFERROR(IF(gantt_tr2[Duration]="","",IF(gantt_tr2[Start]="",N86,gantt_tr2[Start])),"")</f>
        <v/>
      </c>
      <c r="N87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87" s="34" t="str">
        <f>IFERROR(gantt_tr2[[#This Row],[Actual End]]-gantt_tr2[[#This Row],[Actual Start]],"")</f>
        <v/>
      </c>
      <c r="P87" s="10"/>
      <c r="Q87" s="10"/>
      <c r="R87" s="10"/>
      <c r="T87" s="10"/>
      <c r="U87" s="10"/>
      <c r="V87" s="10"/>
    </row>
    <row r="88" spans="3:22">
      <c r="C88" s="41"/>
      <c r="D88" s="41"/>
      <c r="E88" s="36"/>
      <c r="F88" s="50">
        <f>IFERROR(IF(gantt_tr2[[#This Row],[work on holiday]]="Y",gantt_tr2[[#This Row],[Start]]+gantt_tr2[[#This Row],[Duration]],WORKDAY(gantt_tr2[[#This Row],[Start]],gantt_tr2[[#This Row],[Duration]],holidays)),"")</f>
        <v>0</v>
      </c>
      <c r="G88" s="48" t="str">
        <f>IFERROR(MONTH(gantt_tr2[[#This Row],[End]]) &amp; "/" &amp; IF(DAY(gantt_tr2[[#This Row],[End]])&lt;10,"B",IF(DAY(gantt_tr2[[#This Row],[End]])&lt;20,"M","E")),"")</f>
        <v>1/B</v>
      </c>
      <c r="H88" s="35"/>
      <c r="I88" s="19"/>
      <c r="J88" s="30"/>
      <c r="K88" s="30"/>
      <c r="L88" s="21">
        <f>gantt_tr2[[#This Row],[Start]]+gantt_tr2[[#This Row],[Delay]]</f>
        <v>0</v>
      </c>
      <c r="M88" s="22" t="str">
        <f>IFERROR(IF(gantt_tr2[Duration]="","",IF(gantt_tr2[Start]="",N87,gantt_tr2[Start])),"")</f>
        <v/>
      </c>
      <c r="N88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88" s="34" t="str">
        <f>IFERROR(gantt_tr2[[#This Row],[Actual End]]-gantt_tr2[[#This Row],[Actual Start]],"")</f>
        <v/>
      </c>
      <c r="P88" s="10"/>
      <c r="Q88" s="10"/>
      <c r="R88" s="10"/>
      <c r="T88" s="10"/>
      <c r="U88" s="10"/>
      <c r="V88" s="10"/>
    </row>
    <row r="89" spans="3:22">
      <c r="C89" s="41"/>
      <c r="D89" s="41"/>
      <c r="E89" s="36"/>
      <c r="F89" s="50">
        <f>IFERROR(IF(gantt_tr2[[#This Row],[work on holiday]]="Y",gantt_tr2[[#This Row],[Start]]+gantt_tr2[[#This Row],[Duration]],WORKDAY(gantt_tr2[[#This Row],[Start]],gantt_tr2[[#This Row],[Duration]],holidays)),"")</f>
        <v>0</v>
      </c>
      <c r="G89" s="48" t="str">
        <f>IFERROR(MONTH(gantt_tr2[[#This Row],[End]]) &amp; "/" &amp; IF(DAY(gantt_tr2[[#This Row],[End]])&lt;10,"B",IF(DAY(gantt_tr2[[#This Row],[End]])&lt;20,"M","E")),"")</f>
        <v>1/B</v>
      </c>
      <c r="H89" s="35"/>
      <c r="I89" s="19"/>
      <c r="J89" s="30"/>
      <c r="K89" s="30"/>
      <c r="L89" s="21">
        <f>gantt_tr2[[#This Row],[Start]]+gantt_tr2[[#This Row],[Delay]]</f>
        <v>0</v>
      </c>
      <c r="M89" s="22" t="str">
        <f>IFERROR(IF(gantt_tr2[Duration]="","",IF(gantt_tr2[Start]="",N88,gantt_tr2[Start])),"")</f>
        <v/>
      </c>
      <c r="N89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89" s="34" t="str">
        <f>IFERROR(gantt_tr2[[#This Row],[Actual End]]-gantt_tr2[[#This Row],[Actual Start]],"")</f>
        <v/>
      </c>
      <c r="P89" s="10"/>
      <c r="Q89" s="10"/>
      <c r="R89" s="10"/>
      <c r="T89" s="10"/>
      <c r="U89" s="10"/>
      <c r="V89" s="10"/>
    </row>
    <row r="90" spans="3:22">
      <c r="C90" s="41"/>
      <c r="D90" s="41"/>
      <c r="E90" s="36"/>
      <c r="F90" s="50">
        <f>IFERROR(IF(gantt_tr2[[#This Row],[work on holiday]]="Y",gantt_tr2[[#This Row],[Start]]+gantt_tr2[[#This Row],[Duration]],WORKDAY(gantt_tr2[[#This Row],[Start]],gantt_tr2[[#This Row],[Duration]],holidays)),"")</f>
        <v>0</v>
      </c>
      <c r="G90" s="48" t="str">
        <f>IFERROR(MONTH(gantt_tr2[[#This Row],[End]]) &amp; "/" &amp; IF(DAY(gantt_tr2[[#This Row],[End]])&lt;10,"B",IF(DAY(gantt_tr2[[#This Row],[End]])&lt;20,"M","E")),"")</f>
        <v>1/B</v>
      </c>
      <c r="H90" s="35"/>
      <c r="I90" s="19"/>
      <c r="J90" s="30"/>
      <c r="K90" s="30"/>
      <c r="L90" s="21">
        <f>gantt_tr2[[#This Row],[Start]]+gantt_tr2[[#This Row],[Delay]]</f>
        <v>0</v>
      </c>
      <c r="M90" s="22" t="str">
        <f>IFERROR(IF(gantt_tr2[Duration]="","",IF(gantt_tr2[Start]="",N89,gantt_tr2[Start])),"")</f>
        <v/>
      </c>
      <c r="N90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90" s="34" t="str">
        <f>IFERROR(gantt_tr2[[#This Row],[Actual End]]-gantt_tr2[[#This Row],[Actual Start]],"")</f>
        <v/>
      </c>
      <c r="P90" s="10"/>
      <c r="Q90" s="10"/>
      <c r="R90" s="10"/>
      <c r="T90" s="10"/>
      <c r="U90" s="10"/>
      <c r="V90" s="10"/>
    </row>
    <row r="91" spans="3:22">
      <c r="C91" s="41"/>
      <c r="D91" s="41"/>
      <c r="E91" s="36"/>
      <c r="F91" s="50">
        <f>IFERROR(IF(gantt_tr2[[#This Row],[work on holiday]]="Y",gantt_tr2[[#This Row],[Start]]+gantt_tr2[[#This Row],[Duration]],WORKDAY(gantt_tr2[[#This Row],[Start]],gantt_tr2[[#This Row],[Duration]],holidays)),"")</f>
        <v>0</v>
      </c>
      <c r="G91" s="48" t="str">
        <f>IFERROR(MONTH(gantt_tr2[[#This Row],[End]]) &amp; "/" &amp; IF(DAY(gantt_tr2[[#This Row],[End]])&lt;10,"B",IF(DAY(gantt_tr2[[#This Row],[End]])&lt;20,"M","E")),"")</f>
        <v>1/B</v>
      </c>
      <c r="H91" s="35"/>
      <c r="I91" s="19"/>
      <c r="J91" s="30"/>
      <c r="K91" s="30"/>
      <c r="L91" s="21">
        <f>gantt_tr2[[#This Row],[Start]]+gantt_tr2[[#This Row],[Delay]]</f>
        <v>0</v>
      </c>
      <c r="M91" s="22" t="str">
        <f>IFERROR(IF(gantt_tr2[Duration]="","",IF(gantt_tr2[Start]="",N90,gantt_tr2[Start])),"")</f>
        <v/>
      </c>
      <c r="N91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91" s="34" t="str">
        <f>IFERROR(gantt_tr2[[#This Row],[Actual End]]-gantt_tr2[[#This Row],[Actual Start]],"")</f>
        <v/>
      </c>
      <c r="P91" s="10"/>
      <c r="Q91" s="10"/>
      <c r="R91" s="10"/>
      <c r="T91" s="10"/>
      <c r="U91" s="10"/>
      <c r="V91" s="10"/>
    </row>
    <row r="92" spans="3:22">
      <c r="C92" s="41"/>
      <c r="D92" s="41"/>
      <c r="E92" s="36"/>
      <c r="F92" s="50">
        <f>IFERROR(IF(gantt_tr2[[#This Row],[work on holiday]]="Y",gantt_tr2[[#This Row],[Start]]+gantt_tr2[[#This Row],[Duration]],WORKDAY(gantt_tr2[[#This Row],[Start]],gantt_tr2[[#This Row],[Duration]],holidays)),"")</f>
        <v>0</v>
      </c>
      <c r="G92" s="48" t="str">
        <f>IFERROR(MONTH(gantt_tr2[[#This Row],[End]]) &amp; "/" &amp; IF(DAY(gantt_tr2[[#This Row],[End]])&lt;10,"B",IF(DAY(gantt_tr2[[#This Row],[End]])&lt;20,"M","E")),"")</f>
        <v>1/B</v>
      </c>
      <c r="H92" s="35"/>
      <c r="I92" s="19"/>
      <c r="J92" s="30"/>
      <c r="K92" s="30"/>
      <c r="L92" s="21">
        <f>gantt_tr2[[#This Row],[Start]]+gantt_tr2[[#This Row],[Delay]]</f>
        <v>0</v>
      </c>
      <c r="M92" s="22" t="str">
        <f>IFERROR(IF(gantt_tr2[Duration]="","",IF(gantt_tr2[Start]="",N91,gantt_tr2[Start])),"")</f>
        <v/>
      </c>
      <c r="N92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92" s="34" t="str">
        <f>IFERROR(gantt_tr2[[#This Row],[Actual End]]-gantt_tr2[[#This Row],[Actual Start]],"")</f>
        <v/>
      </c>
      <c r="P92" s="10"/>
      <c r="Q92" s="10"/>
      <c r="R92" s="10"/>
      <c r="T92" s="10"/>
      <c r="U92" s="10"/>
      <c r="V92" s="10"/>
    </row>
    <row r="93" spans="3:22">
      <c r="C93" s="41"/>
      <c r="D93" s="41"/>
      <c r="E93" s="36"/>
      <c r="F93" s="50">
        <f>IFERROR(IF(gantt_tr2[[#This Row],[work on holiday]]="Y",gantt_tr2[[#This Row],[Start]]+gantt_tr2[[#This Row],[Duration]],WORKDAY(gantt_tr2[[#This Row],[Start]],gantt_tr2[[#This Row],[Duration]],holidays)),"")</f>
        <v>0</v>
      </c>
      <c r="G93" s="48" t="str">
        <f>IFERROR(MONTH(gantt_tr2[[#This Row],[End]]) &amp; "/" &amp; IF(DAY(gantt_tr2[[#This Row],[End]])&lt;10,"B",IF(DAY(gantt_tr2[[#This Row],[End]])&lt;20,"M","E")),"")</f>
        <v>1/B</v>
      </c>
      <c r="H93" s="35"/>
      <c r="I93" s="19"/>
      <c r="J93" s="30"/>
      <c r="K93" s="30"/>
      <c r="L93" s="21">
        <f>gantt_tr2[[#This Row],[Start]]+gantt_tr2[[#This Row],[Delay]]</f>
        <v>0</v>
      </c>
      <c r="M93" s="22" t="str">
        <f>IFERROR(IF(gantt_tr2[Duration]="","",IF(gantt_tr2[Start]="",N92,gantt_tr2[Start])),"")</f>
        <v/>
      </c>
      <c r="N93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93" s="34" t="str">
        <f>IFERROR(gantt_tr2[[#This Row],[Actual End]]-gantt_tr2[[#This Row],[Actual Start]],"")</f>
        <v/>
      </c>
      <c r="P93" s="10"/>
      <c r="Q93" s="10"/>
      <c r="R93" s="10"/>
      <c r="T93" s="10"/>
      <c r="U93" s="10"/>
      <c r="V93" s="10"/>
    </row>
    <row r="94" spans="3:22">
      <c r="C94" s="41"/>
      <c r="D94" s="41"/>
      <c r="E94" s="36"/>
      <c r="F94" s="50">
        <f>IFERROR(IF(gantt_tr2[[#This Row],[work on holiday]]="Y",gantt_tr2[[#This Row],[Start]]+gantt_tr2[[#This Row],[Duration]],WORKDAY(gantt_tr2[[#This Row],[Start]],gantt_tr2[[#This Row],[Duration]],holidays)),"")</f>
        <v>0</v>
      </c>
      <c r="G94" s="48" t="str">
        <f>IFERROR(MONTH(gantt_tr2[[#This Row],[End]]) &amp; "/" &amp; IF(DAY(gantt_tr2[[#This Row],[End]])&lt;10,"B",IF(DAY(gantt_tr2[[#This Row],[End]])&lt;20,"M","E")),"")</f>
        <v>1/B</v>
      </c>
      <c r="H94" s="35"/>
      <c r="I94" s="19"/>
      <c r="J94" s="30"/>
      <c r="K94" s="30"/>
      <c r="L94" s="21">
        <f>gantt_tr2[[#This Row],[Start]]+gantt_tr2[[#This Row],[Delay]]</f>
        <v>0</v>
      </c>
      <c r="M94" s="22" t="str">
        <f>IFERROR(IF(gantt_tr2[Duration]="","",IF(gantt_tr2[Start]="",N93,gantt_tr2[Start])),"")</f>
        <v/>
      </c>
      <c r="N94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94" s="34" t="str">
        <f>IFERROR(gantt_tr2[[#This Row],[Actual End]]-gantt_tr2[[#This Row],[Actual Start]],"")</f>
        <v/>
      </c>
      <c r="P94" s="10"/>
      <c r="Q94" s="10"/>
      <c r="R94" s="10"/>
      <c r="T94" s="10"/>
      <c r="U94" s="10"/>
      <c r="V94" s="10"/>
    </row>
    <row r="95" spans="3:22">
      <c r="C95" s="41"/>
      <c r="D95" s="41"/>
      <c r="E95" s="36"/>
      <c r="F95" s="50">
        <f>IFERROR(IF(gantt_tr2[[#This Row],[work on holiday]]="Y",gantt_tr2[[#This Row],[Start]]+gantt_tr2[[#This Row],[Duration]],WORKDAY(gantt_tr2[[#This Row],[Start]],gantt_tr2[[#This Row],[Duration]],holidays)),"")</f>
        <v>0</v>
      </c>
      <c r="G95" s="48" t="str">
        <f>IFERROR(MONTH(gantt_tr2[[#This Row],[End]]) &amp; "/" &amp; IF(DAY(gantt_tr2[[#This Row],[End]])&lt;10,"B",IF(DAY(gantt_tr2[[#This Row],[End]])&lt;20,"M","E")),"")</f>
        <v>1/B</v>
      </c>
      <c r="H95" s="35"/>
      <c r="I95" s="19"/>
      <c r="J95" s="30"/>
      <c r="K95" s="30"/>
      <c r="L95" s="21">
        <f>gantt_tr2[[#This Row],[Start]]+gantt_tr2[[#This Row],[Delay]]</f>
        <v>0</v>
      </c>
      <c r="M95" s="22" t="str">
        <f>IFERROR(IF(gantt_tr2[Duration]="","",IF(gantt_tr2[Start]="",N94,gantt_tr2[Start])),"")</f>
        <v/>
      </c>
      <c r="N95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95" s="34" t="str">
        <f>IFERROR(gantt_tr2[[#This Row],[Actual End]]-gantt_tr2[[#This Row],[Actual Start]],"")</f>
        <v/>
      </c>
      <c r="P95" s="10"/>
      <c r="Q95" s="10"/>
      <c r="R95" s="10"/>
      <c r="T95" s="10"/>
      <c r="U95" s="10"/>
      <c r="V95" s="10"/>
    </row>
    <row r="96" spans="3:22">
      <c r="C96" s="41"/>
      <c r="D96" s="41"/>
      <c r="E96" s="36"/>
      <c r="F96" s="50">
        <f>IFERROR(IF(gantt_tr2[[#This Row],[work on holiday]]="Y",gantt_tr2[[#This Row],[Start]]+gantt_tr2[[#This Row],[Duration]],WORKDAY(gantt_tr2[[#This Row],[Start]],gantt_tr2[[#This Row],[Duration]],holidays)),"")</f>
        <v>0</v>
      </c>
      <c r="G96" s="48" t="str">
        <f>IFERROR(MONTH(gantt_tr2[[#This Row],[End]]) &amp; "/" &amp; IF(DAY(gantt_tr2[[#This Row],[End]])&lt;10,"B",IF(DAY(gantt_tr2[[#This Row],[End]])&lt;20,"M","E")),"")</f>
        <v>1/B</v>
      </c>
      <c r="H96" s="35"/>
      <c r="I96" s="19"/>
      <c r="J96" s="30"/>
      <c r="K96" s="30"/>
      <c r="L96" s="21">
        <f>gantt_tr2[[#This Row],[Start]]+gantt_tr2[[#This Row],[Delay]]</f>
        <v>0</v>
      </c>
      <c r="M96" s="22" t="str">
        <f>IFERROR(IF(gantt_tr2[Duration]="","",IF(gantt_tr2[Start]="",N95,gantt_tr2[Start])),"")</f>
        <v/>
      </c>
      <c r="N96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96" s="34" t="str">
        <f>IFERROR(gantt_tr2[[#This Row],[Actual End]]-gantt_tr2[[#This Row],[Actual Start]],"")</f>
        <v/>
      </c>
      <c r="P96" s="10"/>
      <c r="Q96" s="10"/>
      <c r="R96" s="10"/>
      <c r="T96" s="10"/>
      <c r="U96" s="10"/>
      <c r="V96" s="10"/>
    </row>
    <row r="97" spans="3:22">
      <c r="C97" s="41"/>
      <c r="D97" s="41"/>
      <c r="E97" s="36"/>
      <c r="F97" s="50">
        <f>IFERROR(IF(gantt_tr2[[#This Row],[work on holiday]]="Y",gantt_tr2[[#This Row],[Start]]+gantt_tr2[[#This Row],[Duration]],WORKDAY(gantt_tr2[[#This Row],[Start]],gantt_tr2[[#This Row],[Duration]],holidays)),"")</f>
        <v>0</v>
      </c>
      <c r="G97" s="48" t="str">
        <f>IFERROR(MONTH(gantt_tr2[[#This Row],[End]]) &amp; "/" &amp; IF(DAY(gantt_tr2[[#This Row],[End]])&lt;10,"B",IF(DAY(gantt_tr2[[#This Row],[End]])&lt;20,"M","E")),"")</f>
        <v>1/B</v>
      </c>
      <c r="H97" s="35"/>
      <c r="I97" s="19"/>
      <c r="J97" s="30"/>
      <c r="K97" s="30"/>
      <c r="L97" s="21">
        <f>gantt_tr2[[#This Row],[Start]]+gantt_tr2[[#This Row],[Delay]]</f>
        <v>0</v>
      </c>
      <c r="M97" s="22" t="str">
        <f>IFERROR(IF(gantt_tr2[Duration]="","",IF(gantt_tr2[Start]="",N96,gantt_tr2[Start])),"")</f>
        <v/>
      </c>
      <c r="N97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97" s="34" t="str">
        <f>IFERROR(gantt_tr2[[#This Row],[Actual End]]-gantt_tr2[[#This Row],[Actual Start]],"")</f>
        <v/>
      </c>
      <c r="P97" s="10"/>
      <c r="Q97" s="10"/>
      <c r="R97" s="10"/>
      <c r="T97" s="10"/>
      <c r="U97" s="10"/>
      <c r="V97" s="10"/>
    </row>
    <row r="98" spans="3:22">
      <c r="C98" s="41"/>
      <c r="D98" s="41"/>
      <c r="E98" s="36"/>
      <c r="F98" s="50">
        <f>IFERROR(IF(gantt_tr2[[#This Row],[work on holiday]]="Y",gantt_tr2[[#This Row],[Start]]+gantt_tr2[[#This Row],[Duration]],WORKDAY(gantt_tr2[[#This Row],[Start]],gantt_tr2[[#This Row],[Duration]],holidays)),"")</f>
        <v>0</v>
      </c>
      <c r="G98" s="48" t="str">
        <f>IFERROR(MONTH(gantt_tr2[[#This Row],[End]]) &amp; "/" &amp; IF(DAY(gantt_tr2[[#This Row],[End]])&lt;10,"B",IF(DAY(gantt_tr2[[#This Row],[End]])&lt;20,"M","E")),"")</f>
        <v>1/B</v>
      </c>
      <c r="H98" s="35"/>
      <c r="I98" s="19"/>
      <c r="J98" s="30"/>
      <c r="K98" s="30"/>
      <c r="L98" s="21">
        <f>gantt_tr2[[#This Row],[Start]]+gantt_tr2[[#This Row],[Delay]]</f>
        <v>0</v>
      </c>
      <c r="M98" s="22" t="str">
        <f>IFERROR(IF(gantt_tr2[Duration]="","",IF(gantt_tr2[Start]="",N97,gantt_tr2[Start])),"")</f>
        <v/>
      </c>
      <c r="N98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98" s="34" t="str">
        <f>IFERROR(gantt_tr2[[#This Row],[Actual End]]-gantt_tr2[[#This Row],[Actual Start]],"")</f>
        <v/>
      </c>
      <c r="P98" s="10"/>
      <c r="Q98" s="10"/>
      <c r="R98" s="10"/>
      <c r="T98" s="10"/>
      <c r="U98" s="10"/>
      <c r="V98" s="10"/>
    </row>
    <row r="99" spans="3:22">
      <c r="C99" s="41"/>
      <c r="D99" s="41"/>
      <c r="E99" s="36"/>
      <c r="F99" s="50">
        <f>IFERROR(IF(gantt_tr2[[#This Row],[work on holiday]]="Y",gantt_tr2[[#This Row],[Start]]+gantt_tr2[[#This Row],[Duration]],WORKDAY(gantt_tr2[[#This Row],[Start]],gantt_tr2[[#This Row],[Duration]],holidays)),"")</f>
        <v>0</v>
      </c>
      <c r="G99" s="48" t="str">
        <f>IFERROR(MONTH(gantt_tr2[[#This Row],[End]]) &amp; "/" &amp; IF(DAY(gantt_tr2[[#This Row],[End]])&lt;10,"B",IF(DAY(gantt_tr2[[#This Row],[End]])&lt;20,"M","E")),"")</f>
        <v>1/B</v>
      </c>
      <c r="H99" s="35"/>
      <c r="I99" s="19"/>
      <c r="J99" s="30"/>
      <c r="K99" s="30"/>
      <c r="L99" s="21">
        <f>gantt_tr2[[#This Row],[Start]]+gantt_tr2[[#This Row],[Delay]]</f>
        <v>0</v>
      </c>
      <c r="M99" s="22" t="str">
        <f>IFERROR(IF(gantt_tr2[Duration]="","",IF(gantt_tr2[Start]="",N98,gantt_tr2[Start])),"")</f>
        <v/>
      </c>
      <c r="N99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99" s="34" t="str">
        <f>IFERROR(gantt_tr2[[#This Row],[Actual End]]-gantt_tr2[[#This Row],[Actual Start]],"")</f>
        <v/>
      </c>
      <c r="P99" s="10"/>
      <c r="Q99" s="10"/>
      <c r="R99" s="10"/>
      <c r="T99" s="10"/>
      <c r="U99" s="10"/>
      <c r="V99" s="10"/>
    </row>
    <row r="100" spans="3:22">
      <c r="C100" s="41"/>
      <c r="D100" s="41"/>
      <c r="E100" s="36"/>
      <c r="F100" s="50">
        <f>IFERROR(IF(gantt_tr2[[#This Row],[work on holiday]]="Y",gantt_tr2[[#This Row],[Start]]+gantt_tr2[[#This Row],[Duration]],WORKDAY(gantt_tr2[[#This Row],[Start]],gantt_tr2[[#This Row],[Duration]],holidays)),"")</f>
        <v>0</v>
      </c>
      <c r="G100" s="48" t="str">
        <f>IFERROR(MONTH(gantt_tr2[[#This Row],[End]]) &amp; "/" &amp; IF(DAY(gantt_tr2[[#This Row],[End]])&lt;10,"B",IF(DAY(gantt_tr2[[#This Row],[End]])&lt;20,"M","E")),"")</f>
        <v>1/B</v>
      </c>
      <c r="H100" s="35"/>
      <c r="I100" s="19"/>
      <c r="J100" s="30"/>
      <c r="K100" s="30"/>
      <c r="L100" s="21">
        <f>gantt_tr2[[#This Row],[Start]]+gantt_tr2[[#This Row],[Delay]]</f>
        <v>0</v>
      </c>
      <c r="M100" s="22" t="str">
        <f>IFERROR(IF(gantt_tr2[Duration]="","",IF(gantt_tr2[Start]="",N99,gantt_tr2[Start])),"")</f>
        <v/>
      </c>
      <c r="N100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100" s="34" t="str">
        <f>IFERROR(gantt_tr2[[#This Row],[Actual End]]-gantt_tr2[[#This Row],[Actual Start]],"")</f>
        <v/>
      </c>
      <c r="P100" s="10"/>
      <c r="Q100" s="10"/>
      <c r="R100" s="10"/>
      <c r="T100" s="10"/>
      <c r="U100" s="10"/>
      <c r="V100" s="10"/>
    </row>
    <row r="101" spans="3:22">
      <c r="C101" s="41"/>
      <c r="D101" s="41"/>
      <c r="E101" s="36"/>
      <c r="F101" s="50">
        <f>IFERROR(IF(gantt_tr2[[#This Row],[work on holiday]]="Y",gantt_tr2[[#This Row],[Start]]+gantt_tr2[[#This Row],[Duration]],WORKDAY(gantt_tr2[[#This Row],[Start]],gantt_tr2[[#This Row],[Duration]],holidays)),"")</f>
        <v>0</v>
      </c>
      <c r="G101" s="48" t="str">
        <f>IFERROR(MONTH(gantt_tr2[[#This Row],[End]]) &amp; "/" &amp; IF(DAY(gantt_tr2[[#This Row],[End]])&lt;10,"B",IF(DAY(gantt_tr2[[#This Row],[End]])&lt;20,"M","E")),"")</f>
        <v>1/B</v>
      </c>
      <c r="H101" s="35"/>
      <c r="I101" s="19"/>
      <c r="J101" s="30"/>
      <c r="K101" s="30"/>
      <c r="L101" s="21">
        <f>gantt_tr2[[#This Row],[Start]]+gantt_tr2[[#This Row],[Delay]]</f>
        <v>0</v>
      </c>
      <c r="M101" s="22" t="str">
        <f>IFERROR(IF(gantt_tr2[Duration]="","",IF(gantt_tr2[Start]="",N100,gantt_tr2[Start])),"")</f>
        <v/>
      </c>
      <c r="N101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101" s="34" t="str">
        <f>IFERROR(gantt_tr2[[#This Row],[Actual End]]-gantt_tr2[[#This Row],[Actual Start]],"")</f>
        <v/>
      </c>
      <c r="P101" s="10"/>
      <c r="Q101" s="10"/>
      <c r="R101" s="10"/>
      <c r="T101" s="10"/>
      <c r="U101" s="10"/>
      <c r="V101" s="10"/>
    </row>
    <row r="102" spans="3:22">
      <c r="C102" s="31"/>
      <c r="D102" s="31"/>
      <c r="E102" s="36"/>
      <c r="F102" s="50">
        <f>IFERROR(IF(gantt_tr2[[#This Row],[work on holiday]]="Y",gantt_tr2[[#This Row],[Start]]+gantt_tr2[[#This Row],[Duration]],WORKDAY(gantt_tr2[[#This Row],[Start]],gantt_tr2[[#This Row],[Duration]],holidays)),"")</f>
        <v>0</v>
      </c>
      <c r="G102" s="48" t="str">
        <f>IFERROR(MONTH(gantt_tr2[[#This Row],[End]]) &amp; "/" &amp; IF(DAY(gantt_tr2[[#This Row],[End]])&lt;10,"B",IF(DAY(gantt_tr2[[#This Row],[End]])&lt;20,"M","E")),"")</f>
        <v>1/B</v>
      </c>
      <c r="H102" s="35"/>
      <c r="I102" s="19"/>
      <c r="J102" s="30"/>
      <c r="K102" s="30"/>
      <c r="L102" s="21">
        <f>gantt_tr2[[#This Row],[Start]]+gantt_tr2[[#This Row],[Delay]]</f>
        <v>0</v>
      </c>
      <c r="M102" s="22" t="str">
        <f>IFERROR(IF(gantt_tr2[Duration]="","",IF(gantt_tr2[Start]="",N101,gantt_tr2[Start])),"")</f>
        <v/>
      </c>
      <c r="N102" s="23" t="str">
        <f>IFERROR(IF(gantt_tr2[[#This Row],[work on holiday]]="Y",gantt_tr2[[#This Row],[Actual Start]]+gantt_tr2[[#This Row],[Duration]],WORKDAY(gantt_tr2[[#This Row],[Actual Start]],gantt_tr2[[#This Row],[Duration]],holidays)),"")</f>
        <v/>
      </c>
      <c r="O102" s="34" t="str">
        <f>IFERROR(gantt_tr2[[#This Row],[Actual End]]-gantt_tr2[[#This Row],[Actual Start]],"")</f>
        <v/>
      </c>
      <c r="P102" s="10"/>
      <c r="Q102" s="10"/>
      <c r="R102" s="10"/>
      <c r="T102" s="10"/>
      <c r="U102" s="10"/>
      <c r="V102" s="10"/>
    </row>
  </sheetData>
  <phoneticPr fontId="14" type="noConversion"/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"/>
  <sheetViews>
    <sheetView workbookViewId="0">
      <selection activeCell="C2" sqref="C2"/>
    </sheetView>
  </sheetViews>
  <sheetFormatPr defaultRowHeight="15"/>
  <cols>
    <col min="2" max="3" width="9.44140625" bestFit="1" customWidth="1"/>
  </cols>
  <sheetData>
    <row r="2" spans="2:3">
      <c r="B2" s="52">
        <v>45962</v>
      </c>
      <c r="C2" s="53">
        <f>B2</f>
        <v>45962</v>
      </c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40"/>
  <sheetViews>
    <sheetView workbookViewId="0">
      <selection activeCell="A21" sqref="A21"/>
    </sheetView>
  </sheetViews>
  <sheetFormatPr defaultRowHeight="15"/>
  <cols>
    <col min="1" max="1" width="12.77734375" bestFit="1" customWidth="1"/>
    <col min="2" max="2" width="9.88671875" style="4" bestFit="1" customWidth="1"/>
  </cols>
  <sheetData>
    <row r="1" spans="1:2" ht="16.5">
      <c r="A1" t="s">
        <v>30</v>
      </c>
      <c r="B1" s="4" t="s">
        <v>2</v>
      </c>
    </row>
    <row r="2" spans="1:2">
      <c r="A2" t="s">
        <v>3</v>
      </c>
    </row>
    <row r="3" spans="1:2">
      <c r="A3" t="s">
        <v>4</v>
      </c>
    </row>
    <row r="4" spans="1:2">
      <c r="A4" t="s">
        <v>4</v>
      </c>
    </row>
    <row r="5" spans="1:2">
      <c r="A5" t="s">
        <v>4</v>
      </c>
    </row>
    <row r="6" spans="1:2">
      <c r="A6" t="s">
        <v>4</v>
      </c>
    </row>
    <row r="7" spans="1:2">
      <c r="A7" t="s">
        <v>4</v>
      </c>
    </row>
    <row r="8" spans="1:2">
      <c r="A8" t="s">
        <v>4</v>
      </c>
    </row>
    <row r="9" spans="1:2">
      <c r="A9" t="s">
        <v>4</v>
      </c>
    </row>
    <row r="10" spans="1:2">
      <c r="A10" t="s">
        <v>22</v>
      </c>
    </row>
    <row r="11" spans="1:2">
      <c r="A11" t="s">
        <v>5</v>
      </c>
    </row>
    <row r="12" spans="1:2">
      <c r="A12" t="s">
        <v>5</v>
      </c>
    </row>
    <row r="13" spans="1:2">
      <c r="A13" t="s">
        <v>21</v>
      </c>
    </row>
    <row r="14" spans="1:2">
      <c r="A14" t="s">
        <v>23</v>
      </c>
    </row>
    <row r="15" spans="1:2">
      <c r="A15" t="s">
        <v>23</v>
      </c>
    </row>
    <row r="16" spans="1:2">
      <c r="A16" t="s">
        <v>24</v>
      </c>
    </row>
    <row r="17" spans="1:2">
      <c r="A17" t="s">
        <v>24</v>
      </c>
    </row>
    <row r="18" spans="1:2">
      <c r="A18" t="s">
        <v>25</v>
      </c>
    </row>
    <row r="19" spans="1:2" ht="16.5">
      <c r="A19" s="6" t="s">
        <v>34</v>
      </c>
      <c r="B19" s="4">
        <v>46016</v>
      </c>
    </row>
    <row r="36" spans="1:1" ht="16.5">
      <c r="A36" s="6"/>
    </row>
    <row r="37" spans="1:1" ht="16.5">
      <c r="A37" s="6"/>
    </row>
    <row r="38" spans="1:1" ht="16.5">
      <c r="A38" s="6"/>
    </row>
    <row r="39" spans="1:1" ht="16.5">
      <c r="A39" s="6"/>
    </row>
    <row r="40" spans="1:1" ht="16.5">
      <c r="A40" s="6"/>
    </row>
  </sheetData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1</vt:i4>
      </vt:variant>
    </vt:vector>
  </HeadingPairs>
  <TitlesOfParts>
    <vt:vector size="5" baseType="lpstr">
      <vt:lpstr>README</vt:lpstr>
      <vt:lpstr>Gantt</vt:lpstr>
      <vt:lpstr>工作表1</vt:lpstr>
      <vt:lpstr>Holiday</vt:lpstr>
      <vt:lpstr>holidays</vt:lpstr>
    </vt:vector>
  </TitlesOfParts>
  <Company>Innolux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andrew.tseng</dc:creator>
  <cp:lastModifiedBy>andrew.tseng</cp:lastModifiedBy>
  <dcterms:created xsi:type="dcterms:W3CDTF">2020-12-06T14:51:25Z</dcterms:created>
  <dcterms:modified xsi:type="dcterms:W3CDTF">2025-11-27T00:29:29Z</dcterms:modified>
</cp:coreProperties>
</file>